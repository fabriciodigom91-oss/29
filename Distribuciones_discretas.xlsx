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leer este archivo" sheetId="1" state="visible" r:id="rId1"/>
    <sheet name="Resumen" sheetId="2" state="visible" r:id="rId2"/>
    <sheet name="Ej1 Binomial" sheetId="3" state="visible" r:id="rId3"/>
    <sheet name="Ej2 Pois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color rgb="001F3864"/>
      <sz val="12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color rgb="00008000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10" fontId="9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1" fontId="6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9" fontId="6" fillId="2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5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Probabilidad de cada número de autos con garantía (n=14, p=0.22)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'Ej1 Binomial'!C33</f>
            </strRef>
          </tx>
          <spPr>
            <a:ln>
              <a:prstDash val="solid"/>
            </a:ln>
          </spPr>
          <cat>
            <numRef>
              <f>'Ej1 Binomial'!$B$34:$B$48</f>
            </numRef>
          </cat>
          <val>
            <numRef>
              <f>'Ej1 Binomial'!$C$34:$C$48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 = autos que necesitan garantía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P(X = 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Probabilidad de atender k clientes en una hora (λ = 5.125)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'Ej2 Poisson'!C35</f>
            </strRef>
          </tx>
          <spPr>
            <a:ln>
              <a:prstDash val="solid"/>
            </a:ln>
          </spPr>
          <cat>
            <numRef>
              <f>'Ej2 Poisson'!$B$36:$B$51</f>
            </numRef>
          </cat>
          <val>
            <numRef>
              <f>'Ej2 Poisson'!$C$36:$C$51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 = clientes en una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P(X = 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C9" authorId="0" shapeId="0">
      <text>
        <t>Dato del enunciado: lote de 14 autos.</t>
      </text>
    </comment>
    <comment ref="C10" authorId="0" shapeId="0">
      <text>
        <t>Dato del enunciado: 22 % de los vehículos nuevos necesitan garantía.</t>
      </text>
    </comment>
    <comment ref="C12" authorId="0" shapeId="0">
      <text>
        <t>Del enunciado: 'máximo 2 autos' → X ≤ 2.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9" authorId="0" shapeId="0">
      <text>
        <t>Dato del enunciado: 41 clientes en promedio por jornada.</t>
      </text>
    </comment>
    <comment ref="C10" authorId="0" shapeId="0">
      <text>
        <t>Dato del enunciado: jornada normal de 8 horas.</t>
      </text>
    </comment>
    <comment ref="C11" authorId="0" shapeId="0">
      <text>
        <t>Del enunciado: 'en una hora'.</t>
      </text>
    </comment>
    <comment ref="C12" authorId="0" shapeId="0">
      <text>
        <t>Del enunciado: 'exactamente a 7 clientes'.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</cols>
  <sheetData>
    <row r="2">
      <c r="B2" s="1" t="inlineStr">
        <is>
          <t>Distribuciones discretas: ejercicios resueltos</t>
        </is>
      </c>
    </row>
    <row r="3">
      <c r="B3" s="2" t="inlineStr">
        <is>
          <t>Matemáticas · Fabricio Díaz Gómez · Tarea del 28/09/2026</t>
        </is>
      </c>
    </row>
    <row r="5">
      <c r="B5" s="3" t="inlineStr">
        <is>
          <t>Qué hay en cada hoja</t>
        </is>
      </c>
    </row>
    <row r="6" ht="32" customHeight="1">
      <c r="B6" s="4" t="inlineStr">
        <is>
          <t>Resumen</t>
        </is>
      </c>
      <c r="C6" s="5" t="inlineStr">
        <is>
          <t>Las respuestas finales de los dos ejercicios, en una sola vista.</t>
        </is>
      </c>
    </row>
    <row r="7" ht="32" customHeight="1">
      <c r="B7" s="4" t="inlineStr">
        <is>
          <t>Ej1 Binomial</t>
        </is>
      </c>
      <c r="C7" s="5" t="inlineStr">
        <is>
          <t>Ejercicio 1 (autos con garantía): por qué es binomial, la fórmula, el cálculo paso a paso para 0, 1 y 2 autos, la suma final y la tabla completa con gráfica.</t>
        </is>
      </c>
    </row>
    <row r="8" ht="32" customHeight="1">
      <c r="B8" s="4" t="inlineStr">
        <is>
          <t>Ej2 Poisson</t>
        </is>
      </c>
      <c r="C8" s="5" t="inlineStr">
        <is>
          <t>Ejercicio 2 (clientes por hora): por qué es Poisson, cómo se ajusta el promedio de 8 horas a 1 hora, el cálculo paso a paso y la tabla completa con gráfica.</t>
        </is>
      </c>
    </row>
    <row r="10">
      <c r="B10" s="3" t="inlineStr">
        <is>
          <t>Colores</t>
        </is>
      </c>
    </row>
    <row r="11">
      <c r="B11" s="6" t="inlineStr">
        <is>
          <t>Texto azul, fondo amarillo</t>
        </is>
      </c>
      <c r="C11" s="5" t="inlineStr">
        <is>
          <t>Datos del problema (entradas). Si los cambias, todo el ejercicio se recalcula solo.</t>
        </is>
      </c>
    </row>
    <row r="12">
      <c r="B12" s="7" t="inlineStr">
        <is>
          <t>Texto negro</t>
        </is>
      </c>
      <c r="C12" s="5" t="inlineStr">
        <is>
          <t>Fórmulas: Excel las calcula a partir de los datos. Haz clic en una celda para ver su fórmula en la barra de arriba.</t>
        </is>
      </c>
    </row>
    <row r="13">
      <c r="B13" s="8" t="inlineStr">
        <is>
          <t>Fondo verde</t>
        </is>
      </c>
      <c r="C13" s="9" t="inlineStr">
        <is>
          <t>Resultado final del ejercicio.</t>
        </is>
      </c>
    </row>
    <row r="14">
      <c r="B14" s="10" t="inlineStr">
        <is>
          <t>Fondo gris</t>
        </is>
      </c>
      <c r="C14" s="9" t="inlineStr">
        <is>
          <t>Explicaciones: qué se hizo y por qué.</t>
        </is>
      </c>
    </row>
    <row r="16">
      <c r="B16" s="3" t="inlineStr">
        <is>
          <t>Cómo distinguir binomial de Poisson</t>
        </is>
      </c>
    </row>
    <row r="17" ht="32" customHeight="1">
      <c r="B17" s="11" t="inlineStr">
        <is>
          <t>Pregunta</t>
        </is>
      </c>
      <c r="C17" s="11" t="inlineStr">
        <is>
          <t>Binomial  vs.  Poisson</t>
        </is>
      </c>
    </row>
    <row r="18" ht="45" customHeight="1">
      <c r="B18" s="4" t="inlineStr">
        <is>
          <t>¿Qué cuento?</t>
        </is>
      </c>
      <c r="C18" s="5" t="inlineStr">
        <is>
          <t>Binomial: cuántos ÉXITOS hay en un número FIJO de intentos (n).  ·  Poisson: cuántas veces ocurre algo en un INTERVALO (de tiempo, espacio, etc.).</t>
        </is>
      </c>
    </row>
    <row r="19" ht="45" customHeight="1">
      <c r="B19" s="4" t="inlineStr">
        <is>
          <t>¿Hay un tope?</t>
        </is>
      </c>
      <c r="C19" s="5" t="inlineStr">
        <is>
          <t>Binomial: sí, no puede haber más de n éxitos (máximo 14 autos).  ·  Poisson: no hay tope teórico (podrían llegar 0, 1, 2, ... clientes).</t>
        </is>
      </c>
    </row>
    <row r="20" ht="45" customHeight="1">
      <c r="B20" s="4" t="inlineStr">
        <is>
          <t>¿Qué datos me dan?</t>
        </is>
      </c>
      <c r="C20" s="5" t="inlineStr">
        <is>
          <t>Binomial: n (intentos) y p (probabilidad de éxito en cada intento).  ·  Poisson: λ (lambda), el PROMEDIO de ocurrencias en el intervalo.</t>
        </is>
      </c>
    </row>
    <row r="21" ht="45" customHeight="1">
      <c r="B21" s="4" t="inlineStr">
        <is>
          <t>Palabras típicas</t>
        </is>
      </c>
      <c r="C21" s="5" t="inlineStr">
        <is>
          <t>Binomial: 'de un lote de...', 'de 20 personas...', 'porcentaje / probabilidad de...'.  ·  Poisson: 'en promedio ... por hora / por día / por metro'.</t>
        </is>
      </c>
    </row>
    <row r="22" ht="45" customHeight="1">
      <c r="B22" s="4" t="inlineStr">
        <is>
          <t>Fórmula</t>
        </is>
      </c>
      <c r="C22" s="5" t="inlineStr">
        <is>
          <t>Binomial: P(X=k) = C(n,k) · p^k · (1−p)^(n−k)  ·  Poisson: P(X=k) = e^(−λ) · λ^k / k!</t>
        </is>
      </c>
    </row>
    <row r="23" ht="45" customHeight="1">
      <c r="B23" s="4" t="inlineStr">
        <is>
          <t>Función de Excel</t>
        </is>
      </c>
      <c r="C23" s="5" t="inlineStr">
        <is>
          <t>Binomial: BINOMDIST(k, n, p, FALSO)  ·  Poisson: POISSON(k, λ, FALSO). Con VERDADERO dan la probabilidad ACUMULADA (de 0 hasta 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4" customWidth="1" min="3" max="3"/>
    <col width="18" customWidth="1" min="4" max="4"/>
    <col width="26" customWidth="1" min="5" max="5"/>
    <col width="14" customWidth="1" min="6" max="6"/>
    <col width="14" customWidth="1" min="7" max="7"/>
  </cols>
  <sheetData>
    <row r="2">
      <c r="B2" s="1" t="inlineStr">
        <is>
          <t>Resumen de respuestas</t>
        </is>
      </c>
    </row>
    <row r="4" ht="32" customHeight="1">
      <c r="B4" s="11" t="inlineStr">
        <is>
          <t>Ejercicio</t>
        </is>
      </c>
      <c r="C4" s="11" t="inlineStr">
        <is>
          <t>Pregunta</t>
        </is>
      </c>
      <c r="D4" s="11" t="inlineStr">
        <is>
          <t>Distribución</t>
        </is>
      </c>
      <c r="E4" s="11" t="inlineStr">
        <is>
          <t>Datos clave</t>
        </is>
      </c>
      <c r="F4" s="11" t="inlineStr">
        <is>
          <t>Resultado</t>
        </is>
      </c>
      <c r="G4" s="11" t="inlineStr">
        <is>
          <t>En %</t>
        </is>
      </c>
    </row>
    <row r="5" ht="34" customHeight="1">
      <c r="B5" s="12" t="inlineStr">
        <is>
          <t>1</t>
        </is>
      </c>
      <c r="C5" s="5" t="inlineStr">
        <is>
          <t>Probabilidad de que MÁXIMO 2 de 14 autos necesiten garantía</t>
        </is>
      </c>
      <c r="D5" s="13" t="inlineStr">
        <is>
          <t>Binomial</t>
        </is>
      </c>
      <c r="E5" s="13">
        <f>"n = "&amp;'Ej1 Binomial'!C9&amp;",  p = "&amp;TEXT('Ej1 Binomial'!C10,"0%")</f>
        <v/>
      </c>
      <c r="F5" s="14">
        <f>'Ej1 Binomial'!F22</f>
        <v/>
      </c>
      <c r="G5" s="15">
        <f>'Ej1 Binomial'!F22</f>
        <v/>
      </c>
    </row>
    <row r="6" ht="34" customHeight="1">
      <c r="B6" s="12" t="inlineStr">
        <is>
          <t>2</t>
        </is>
      </c>
      <c r="C6" s="5" t="inlineStr">
        <is>
          <t>Probabilidad de atender EXACTAMENTE 7 clientes en una hora</t>
        </is>
      </c>
      <c r="D6" s="13" t="inlineStr">
        <is>
          <t>Poisson</t>
        </is>
      </c>
      <c r="E6" s="13">
        <f>"λ = 41 ÷ 8 = "&amp;TEXT('Ej2 Poisson'!C16,"0.000")</f>
        <v/>
      </c>
      <c r="F6" s="14">
        <f>'Ej2 Poisson'!D26</f>
        <v/>
      </c>
      <c r="G6" s="15">
        <f>'Ej2 Poisson'!D26</f>
        <v/>
      </c>
    </row>
    <row r="8" ht="34" customHeight="1">
      <c r="B8" s="16" t="inlineStr">
        <is>
          <t>Los resultados se toman de las hojas de cada ejercicio (texto verde = vínculo a otra hoja). Si cambias un dato en esas hojas, este resumen se actualiza solo.</t>
        </is>
      </c>
    </row>
  </sheetData>
  <mergeCells count="1">
    <mergeCell ref="B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44" customWidth="1" min="8" max="8"/>
  </cols>
  <sheetData>
    <row r="2">
      <c r="B2" s="1" t="inlineStr">
        <is>
          <t>Ejercicio 1: autos con servicio de garantía (distribución binomial)</t>
        </is>
      </c>
    </row>
    <row r="3" ht="34" customHeight="1">
      <c r="B3" s="16" t="inlineStr">
        <is>
          <t>Enunciado: en promedio el 22 % de los vehículos nuevos necesitan servicio de garantía el primer año. Calcule la probabilidad de que MÁXIMO 2 autos, de un lote de 14, necesiten servicio de garantía el primer año.</t>
        </is>
      </c>
    </row>
    <row r="5">
      <c r="B5" s="3" t="inlineStr">
        <is>
          <t>Paso 1. ¿Por qué es binomial?</t>
        </is>
      </c>
    </row>
    <row r="6" ht="75" customHeight="1">
      <c r="B6" s="16" t="inlineStr">
        <is>
          <t>• Hay un número FIJO de intentos: 14 autos (n = 14).
• Cada auto tiene solo 2 resultados: necesita garantía ("éxito") o no la necesita ("fracaso").
• La probabilidad de éxito es la misma para cada auto: 22 % (p = 0.22), y un auto no afecta a otro.
• Contamos CUÁNTOS éxitos hay (X = número de autos que necesitan garantía). Todo esto es exactamente una distribución binomial.</t>
        </is>
      </c>
    </row>
    <row r="8">
      <c r="B8" s="3" t="inlineStr">
        <is>
          <t>Paso 2. Datos del problema</t>
        </is>
      </c>
    </row>
    <row r="9">
      <c r="B9" s="7" t="inlineStr">
        <is>
          <t>n (autos en el lote)</t>
        </is>
      </c>
      <c r="C9" s="17" t="n">
        <v>14</v>
      </c>
      <c r="D9" s="18" t="inlineStr">
        <is>
          <t>Número de intentos. Dato del enunciado.</t>
        </is>
      </c>
    </row>
    <row r="10">
      <c r="B10" s="7" t="inlineStr">
        <is>
          <t>p (prob. de necesitar garantía)</t>
        </is>
      </c>
      <c r="C10" s="19" t="n">
        <v>0.22</v>
      </c>
      <c r="D10" s="18" t="inlineStr">
        <is>
          <t>Probabilidad de éxito. Dato del enunciado: 22 % = 0.22.</t>
        </is>
      </c>
    </row>
    <row r="11">
      <c r="B11" s="7" t="inlineStr">
        <is>
          <t>q = 1 − p (prob. de NO necesitarla)</t>
        </is>
      </c>
      <c r="C11" s="20">
        <f>1-C10</f>
        <v/>
      </c>
      <c r="D11" s="18" t="inlineStr">
        <is>
          <t>Probabilidad de fracaso: lo que falta para llegar a 100 %.</t>
        </is>
      </c>
    </row>
    <row r="12">
      <c r="B12" s="7" t="inlineStr">
        <is>
          <t>k máximo ("máximo 2 autos")</t>
        </is>
      </c>
      <c r="C12" s="17" t="n">
        <v>2</v>
      </c>
      <c r="D12" s="18" t="inlineStr">
        <is>
          <t>"Máximo 2" significa 0, 1 o 2 autos: X ≤ 2.</t>
        </is>
      </c>
    </row>
    <row r="14">
      <c r="B14" s="3" t="inlineStr">
        <is>
          <t>Paso 3. La fórmula binomial</t>
        </is>
      </c>
    </row>
    <row r="15" ht="120" customHeight="1">
      <c r="B15" s="16" t="inlineStr">
        <is>
          <t>P(X = k) = C(n, k) · p^k · q^(n−k)
• C(n, k) = combinaciones: de cuántas formas distintas se pueden elegir k autos de los n. En Excel: COMBINAT(n; k) (en inglés COMBIN).
• p^k = probabilidad de que esos k autos SÍ necesiten garantía.
• q^(n−k) = probabilidad de que los otros n−k autos NO la necesiten.
Como piden "máximo 2", hay que calcular P(X=0), P(X=1) y P(X=2) y SUMARLAS:  P(X ≤ 2) = P(0) + P(1) + P(2).</t>
        </is>
      </c>
    </row>
    <row r="17">
      <c r="B17" s="3" t="inlineStr">
        <is>
          <t>Paso 4. Cálculo paso a paso</t>
        </is>
      </c>
    </row>
    <row r="18" ht="32" customHeight="1">
      <c r="B18" s="11" t="inlineStr">
        <is>
          <t>k (autos con garantía)</t>
        </is>
      </c>
      <c r="C18" s="11" t="inlineStr">
        <is>
          <t>C(n, k)</t>
        </is>
      </c>
      <c r="D18" s="11" t="inlineStr">
        <is>
          <t>p^k</t>
        </is>
      </c>
      <c r="E18" s="11" t="inlineStr">
        <is>
          <t>q^(n−k)</t>
        </is>
      </c>
      <c r="F18" s="11" t="inlineStr">
        <is>
          <t>P(X = k)
= C · p^k · q^(n−k)</t>
        </is>
      </c>
      <c r="G18" s="11" t="inlineStr">
        <is>
          <t>Comprobación con
BINOMDIST</t>
        </is>
      </c>
      <c r="H18" s="11" t="inlineStr">
        <is>
          <t>Qué significa</t>
        </is>
      </c>
    </row>
    <row r="19" ht="32" customHeight="1">
      <c r="B19" s="12" t="n">
        <v>0</v>
      </c>
      <c r="C19" s="21">
        <f>COMBIN($C$9,B19)</f>
        <v/>
      </c>
      <c r="D19" s="22">
        <f>$C$10^B19</f>
        <v/>
      </c>
      <c r="E19" s="22">
        <f>$C$11^($C$9-B19)</f>
        <v/>
      </c>
      <c r="F19" s="23">
        <f>C19*D19*E19</f>
        <v/>
      </c>
      <c r="G19" s="23">
        <f>BINOMDIST(B19,$C$9,$C$10,FALSE)</f>
        <v/>
      </c>
      <c r="H19" s="5" t="inlineStr">
        <is>
          <t>Ningún auto necesita garantía: los 14 salen bien. Solo hay 1 forma de que pase.</t>
        </is>
      </c>
    </row>
    <row r="20" ht="32" customHeight="1">
      <c r="B20" s="12" t="n">
        <v>1</v>
      </c>
      <c r="C20" s="21">
        <f>COMBIN($C$9,B20)</f>
        <v/>
      </c>
      <c r="D20" s="22">
        <f>$C$10^B20</f>
        <v/>
      </c>
      <c r="E20" s="22">
        <f>$C$11^($C$9-B20)</f>
        <v/>
      </c>
      <c r="F20" s="23">
        <f>C20*D20*E20</f>
        <v/>
      </c>
      <c r="G20" s="23">
        <f>BINOMDIST(B20,$C$9,$C$10,FALSE)</f>
        <v/>
      </c>
      <c r="H20" s="5" t="inlineStr">
        <is>
          <t>Exactamente 1 auto necesita garantía. Puede ser cualquiera de los 14: hay 14 formas.</t>
        </is>
      </c>
    </row>
    <row r="21" ht="32" customHeight="1">
      <c r="B21" s="12" t="n">
        <v>2</v>
      </c>
      <c r="C21" s="21">
        <f>COMBIN($C$9,B21)</f>
        <v/>
      </c>
      <c r="D21" s="22">
        <f>$C$10^B21</f>
        <v/>
      </c>
      <c r="E21" s="22">
        <f>$C$11^($C$9-B21)</f>
        <v/>
      </c>
      <c r="F21" s="23">
        <f>C21*D21*E21</f>
        <v/>
      </c>
      <c r="G21" s="23">
        <f>BINOMDIST(B21,$C$9,$C$10,FALSE)</f>
        <v/>
      </c>
      <c r="H21" s="5" t="inlineStr">
        <is>
          <t>Exactamente 2 autos necesitan garantía. Hay 91 formas de elegir 2 autos de 14.</t>
        </is>
      </c>
    </row>
    <row r="22" ht="32" customHeight="1">
      <c r="B22" s="7" t="inlineStr">
        <is>
          <t>P(X ≤ 2) = suma</t>
        </is>
      </c>
      <c r="C22" s="9" t="n"/>
      <c r="D22" s="9" t="n"/>
      <c r="E22" s="9" t="n"/>
      <c r="F22" s="24">
        <f>SUM(F19:F21)</f>
        <v/>
      </c>
      <c r="G22" s="25">
        <f>BINOMDIST($C$12,$C$9,$C$10,TRUE)</f>
        <v/>
      </c>
      <c r="H22" s="5" t="inlineStr">
        <is>
          <t>Con VERDADERO (TRUE), BINOMDIST suma de 0 hasta k de una vez. Debe dar lo mismo que la suma.</t>
        </is>
      </c>
    </row>
    <row r="24">
      <c r="B24" s="3" t="inlineStr">
        <is>
          <t>Paso 5. Resultado</t>
        </is>
      </c>
    </row>
    <row r="25">
      <c r="B25" s="26" t="inlineStr">
        <is>
          <t>P(X ≤ 2) =</t>
        </is>
      </c>
      <c r="C25" s="27">
        <f>F22</f>
        <v/>
      </c>
      <c r="D25" s="28">
        <f>F22</f>
        <v/>
      </c>
    </row>
    <row r="26" ht="34" customHeight="1">
      <c r="B26" s="16">
        <f>"Interpretación: hay una probabilidad de "&amp;TEXT(F22,"0.00%")&amp;" de que, de un lote de 14 autos, máximo 2 necesiten servicio de garantía el primer año (es decir, poco más de 1 de cada 3 lotes)."</f>
        <v/>
      </c>
    </row>
    <row r="28">
      <c r="B28" s="3" t="inlineStr">
        <is>
          <t>Ejemplo del cálculo a mano para k = 2</t>
        </is>
      </c>
    </row>
    <row r="29" ht="105" customHeight="1">
      <c r="B29" s="16" t="inlineStr">
        <is>
          <t>P(X=2) = C(14,2) · 0.22² · 0.78¹²
• C(14,2) = 14·13 / 2 = 91
• 0.22² = 0.0484
• 0.78¹² ≈ 0.050712
• P(X=2) = 91 × 0.0484 × 0.050712 ≈ 0.2234
Lo mismo se hace con k = 0 y k = 1, y al final se suman los tres.</t>
        </is>
      </c>
    </row>
    <row r="31">
      <c r="B31" s="3" t="inlineStr">
        <is>
          <t>Extra: la distribución completa (de 0 a 14 autos)</t>
        </is>
      </c>
    </row>
    <row r="32" ht="34" customHeight="1">
      <c r="B32" s="16" t="inlineStr">
        <is>
          <t>Esta tabla calcula la probabilidad de cada posible número de autos. Las filas en azul claro son las que suma el ejercicio (0, 1 y 2). La probabilidad acumulada muestra P(X ≤ k). Todas las probabilidades juntas suman 1 (100 %).</t>
        </is>
      </c>
    </row>
    <row r="33" ht="32" customHeight="1">
      <c r="B33" s="11" t="inlineStr">
        <is>
          <t>k</t>
        </is>
      </c>
      <c r="C33" s="11" t="inlineStr">
        <is>
          <t>P(X = k)</t>
        </is>
      </c>
      <c r="D33" s="11" t="inlineStr">
        <is>
          <t>P(X ≤ k) acumulada</t>
        </is>
      </c>
    </row>
    <row r="34">
      <c r="B34" s="29" t="n">
        <v>0</v>
      </c>
      <c r="C34" s="30">
        <f>BINOMDIST(B34,$C$9,$C$10,FALSE)</f>
        <v/>
      </c>
      <c r="D34" s="30">
        <f>BINOMDIST(B34,$C$9,$C$10,TRUE)</f>
        <v/>
      </c>
    </row>
    <row r="35">
      <c r="B35" s="29" t="n">
        <v>1</v>
      </c>
      <c r="C35" s="30">
        <f>BINOMDIST(B35,$C$9,$C$10,FALSE)</f>
        <v/>
      </c>
      <c r="D35" s="30">
        <f>BINOMDIST(B35,$C$9,$C$10,TRUE)</f>
        <v/>
      </c>
    </row>
    <row r="36">
      <c r="B36" s="29" t="n">
        <v>2</v>
      </c>
      <c r="C36" s="30">
        <f>BINOMDIST(B36,$C$9,$C$10,FALSE)</f>
        <v/>
      </c>
      <c r="D36" s="30">
        <f>BINOMDIST(B36,$C$9,$C$10,TRUE)</f>
        <v/>
      </c>
    </row>
    <row r="37">
      <c r="B37" s="13" t="n">
        <v>3</v>
      </c>
      <c r="C37" s="23">
        <f>BINOMDIST(B37,$C$9,$C$10,FALSE)</f>
        <v/>
      </c>
      <c r="D37" s="23">
        <f>BINOMDIST(B37,$C$9,$C$10,TRUE)</f>
        <v/>
      </c>
    </row>
    <row r="38">
      <c r="B38" s="13" t="n">
        <v>4</v>
      </c>
      <c r="C38" s="23">
        <f>BINOMDIST(B38,$C$9,$C$10,FALSE)</f>
        <v/>
      </c>
      <c r="D38" s="23">
        <f>BINOMDIST(B38,$C$9,$C$10,TRUE)</f>
        <v/>
      </c>
    </row>
    <row r="39">
      <c r="B39" s="13" t="n">
        <v>5</v>
      </c>
      <c r="C39" s="23">
        <f>BINOMDIST(B39,$C$9,$C$10,FALSE)</f>
        <v/>
      </c>
      <c r="D39" s="23">
        <f>BINOMDIST(B39,$C$9,$C$10,TRUE)</f>
        <v/>
      </c>
    </row>
    <row r="40">
      <c r="B40" s="13" t="n">
        <v>6</v>
      </c>
      <c r="C40" s="23">
        <f>BINOMDIST(B40,$C$9,$C$10,FALSE)</f>
        <v/>
      </c>
      <c r="D40" s="23">
        <f>BINOMDIST(B40,$C$9,$C$10,TRUE)</f>
        <v/>
      </c>
    </row>
    <row r="41">
      <c r="B41" s="13" t="n">
        <v>7</v>
      </c>
      <c r="C41" s="23">
        <f>BINOMDIST(B41,$C$9,$C$10,FALSE)</f>
        <v/>
      </c>
      <c r="D41" s="23">
        <f>BINOMDIST(B41,$C$9,$C$10,TRUE)</f>
        <v/>
      </c>
    </row>
    <row r="42">
      <c r="B42" s="13" t="n">
        <v>8</v>
      </c>
      <c r="C42" s="23">
        <f>BINOMDIST(B42,$C$9,$C$10,FALSE)</f>
        <v/>
      </c>
      <c r="D42" s="23">
        <f>BINOMDIST(B42,$C$9,$C$10,TRUE)</f>
        <v/>
      </c>
    </row>
    <row r="43">
      <c r="B43" s="13" t="n">
        <v>9</v>
      </c>
      <c r="C43" s="23">
        <f>BINOMDIST(B43,$C$9,$C$10,FALSE)</f>
        <v/>
      </c>
      <c r="D43" s="23">
        <f>BINOMDIST(B43,$C$9,$C$10,TRUE)</f>
        <v/>
      </c>
    </row>
    <row r="44">
      <c r="B44" s="13" t="n">
        <v>10</v>
      </c>
      <c r="C44" s="23">
        <f>BINOMDIST(B44,$C$9,$C$10,FALSE)</f>
        <v/>
      </c>
      <c r="D44" s="23">
        <f>BINOMDIST(B44,$C$9,$C$10,TRUE)</f>
        <v/>
      </c>
    </row>
    <row r="45">
      <c r="B45" s="13" t="n">
        <v>11</v>
      </c>
      <c r="C45" s="23">
        <f>BINOMDIST(B45,$C$9,$C$10,FALSE)</f>
        <v/>
      </c>
      <c r="D45" s="23">
        <f>BINOMDIST(B45,$C$9,$C$10,TRUE)</f>
        <v/>
      </c>
    </row>
    <row r="46">
      <c r="B46" s="13" t="n">
        <v>12</v>
      </c>
      <c r="C46" s="23">
        <f>BINOMDIST(B46,$C$9,$C$10,FALSE)</f>
        <v/>
      </c>
      <c r="D46" s="23">
        <f>BINOMDIST(B46,$C$9,$C$10,TRUE)</f>
        <v/>
      </c>
    </row>
    <row r="47">
      <c r="B47" s="13" t="n">
        <v>13</v>
      </c>
      <c r="C47" s="23">
        <f>BINOMDIST(B47,$C$9,$C$10,FALSE)</f>
        <v/>
      </c>
      <c r="D47" s="23">
        <f>BINOMDIST(B47,$C$9,$C$10,TRUE)</f>
        <v/>
      </c>
    </row>
    <row r="48">
      <c r="B48" s="13" t="n">
        <v>14</v>
      </c>
      <c r="C48" s="23">
        <f>BINOMDIST(B48,$C$9,$C$10,FALSE)</f>
        <v/>
      </c>
      <c r="D48" s="23">
        <f>BINOMDIST(B48,$C$9,$C$10,TRUE)</f>
        <v/>
      </c>
    </row>
    <row r="49">
      <c r="B49" s="7" t="inlineStr">
        <is>
          <t>Suma total</t>
        </is>
      </c>
      <c r="C49" s="25">
        <f>SUM(C34:C48)</f>
        <v/>
      </c>
    </row>
  </sheetData>
  <mergeCells count="10">
    <mergeCell ref="D12:H12"/>
    <mergeCell ref="B32:H32"/>
    <mergeCell ref="B26:H26"/>
    <mergeCell ref="D10:H10"/>
    <mergeCell ref="D11:H11"/>
    <mergeCell ref="B6:H6"/>
    <mergeCell ref="B15:H15"/>
    <mergeCell ref="B29:H29"/>
    <mergeCell ref="B3:H3"/>
    <mergeCell ref="D9:H9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40" customWidth="1" min="8" max="8"/>
  </cols>
  <sheetData>
    <row r="2">
      <c r="B2" s="1" t="inlineStr">
        <is>
          <t>Ejercicio 2: clientes atendidos en una hora (distribución de Poisson)</t>
        </is>
      </c>
    </row>
    <row r="3" ht="34" customHeight="1">
      <c r="B3" s="16" t="inlineStr">
        <is>
          <t>Enunciado: en una jornada normal de ocho horas, un agente de atención al cliente atiende en promedio a 41 clientes. Calcule la probabilidad de que en una hora atienda EXACTAMENTE a 7 clientes.</t>
        </is>
      </c>
    </row>
    <row r="5">
      <c r="B5" s="3" t="inlineStr">
        <is>
          <t>Paso 1. ¿Por qué es Poisson?</t>
        </is>
      </c>
    </row>
    <row r="6" ht="75" customHeight="1">
      <c r="B6" s="16" t="inlineStr">
        <is>
          <t>• Contamos cuántas veces ocurre algo (clientes atendidos) en un INTERVALO de tiempo (una hora).
• No hay un número fijo de intentos ni un tope: podrían ser 0, 1, 2, ... clientes.
• El dato que nos dan es un PROMEDIO por intervalo ("en promedio 41 clientes en 8 horas").
Eso es justo una distribución de Poisson. Su único dato es λ (lambda) = promedio de ocurrencias en el intervalo que pregunta el problema.</t>
        </is>
      </c>
    </row>
    <row r="8">
      <c r="B8" s="3" t="inlineStr">
        <is>
          <t>Paso 2. Datos del problema</t>
        </is>
      </c>
    </row>
    <row r="9">
      <c r="B9" s="4" t="inlineStr">
        <is>
          <t>Clientes promedio en la jornada</t>
        </is>
      </c>
      <c r="C9" s="17" t="n">
        <v>41</v>
      </c>
      <c r="D9" s="18" t="inlineStr">
        <is>
          <t>Dato del enunciado.</t>
        </is>
      </c>
    </row>
    <row r="10">
      <c r="B10" s="4" t="inlineStr">
        <is>
          <t>Horas de la jornada</t>
        </is>
      </c>
      <c r="C10" s="17" t="n">
        <v>8</v>
      </c>
      <c r="D10" s="18" t="inlineStr">
        <is>
          <t>Dato del enunciado.</t>
        </is>
      </c>
    </row>
    <row r="11">
      <c r="B11" s="4" t="inlineStr">
        <is>
          <t>Intervalo que pregunta el problema (horas)</t>
        </is>
      </c>
      <c r="C11" s="17" t="n">
        <v>1</v>
      </c>
      <c r="D11" s="18" t="inlineStr">
        <is>
          <t>"En una hora".</t>
        </is>
      </c>
    </row>
    <row r="12">
      <c r="B12" s="4" t="inlineStr">
        <is>
          <t>k (clientes exactos)</t>
        </is>
      </c>
      <c r="C12" s="17" t="n">
        <v>7</v>
      </c>
      <c r="D12" s="18" t="inlineStr">
        <is>
          <t>"Exactamente 7 clientes": X = 7.</t>
        </is>
      </c>
    </row>
    <row r="14">
      <c r="B14" s="3" t="inlineStr">
        <is>
          <t>Paso 3. Ajustar el promedio a 1 hora (¡el paso clave!)</t>
        </is>
      </c>
    </row>
    <row r="15" ht="62" customHeight="1">
      <c r="B15" s="16" t="inlineStr">
        <is>
          <t>El promedio que nos dan es para 8 horas, pero la pregunta es sobre 1 hora. λ tiene que estar en el MISMO intervalo que la pregunta, así que usamos una regla de tres:  si en 8 horas son 41 clientes, en 1 hora son 41 ÷ 8 = 5.125 clientes en promedio.
Error típico: usar λ = 41 directamente. Eso respondería a otra pregunta (7 clientes en toda la jornada).</t>
        </is>
      </c>
    </row>
    <row r="16">
      <c r="B16" s="7" t="inlineStr">
        <is>
          <t>λ = promedio por hora</t>
        </is>
      </c>
      <c r="C16" s="31">
        <f>C9/C10*C11</f>
        <v/>
      </c>
      <c r="D16" s="18" t="inlineStr">
        <is>
          <t>Es decir: 41 ÷ 8 × 1 = 5.125 clientes por hora, en promedio.</t>
        </is>
      </c>
    </row>
    <row r="18">
      <c r="B18" s="3" t="inlineStr">
        <is>
          <t>Paso 4. La fórmula de Poisson</t>
        </is>
      </c>
    </row>
    <row r="19" ht="90" customHeight="1">
      <c r="B19" s="16" t="inlineStr">
        <is>
          <t>P(X = k) = e^(−λ) · λ^k / k!
• e ≈ 2.71828 es una constante matemática (como π). En Excel: EXP(−λ) calcula e^(−λ).
• λ^k = lambda elevado a la k.
• k! = factorial de k: 7! = 7·6·5·4·3·2·1 = 5040. En Excel: FACT(k).</t>
        </is>
      </c>
    </row>
    <row r="21">
      <c r="B21" s="3" t="inlineStr">
        <is>
          <t>Paso 5. Cálculo paso a paso</t>
        </is>
      </c>
    </row>
    <row r="22" ht="32" customHeight="1">
      <c r="B22" s="11" t="inlineStr">
        <is>
          <t>Parte de la fórmula</t>
        </is>
      </c>
      <c r="C22" s="11" t="inlineStr">
        <is>
          <t>Fórmula en Excel</t>
        </is>
      </c>
      <c r="D22" s="11" t="inlineStr">
        <is>
          <t>Valor</t>
        </is>
      </c>
      <c r="E22" s="11" t="inlineStr">
        <is>
          <t>Explicación</t>
        </is>
      </c>
    </row>
    <row r="23" ht="22" customHeight="1">
      <c r="B23" s="4" t="inlineStr">
        <is>
          <t>e^(−λ)</t>
        </is>
      </c>
      <c r="C23" s="13" t="inlineStr">
        <is>
          <t>EXP(−λ)</t>
        </is>
      </c>
      <c r="D23" s="22">
        <f>EXP(-C16)</f>
        <v/>
      </c>
      <c r="E23" s="18" t="inlineStr">
        <is>
          <t>e elevado a menos 5.125.</t>
        </is>
      </c>
    </row>
    <row r="24" ht="22" customHeight="1">
      <c r="B24" s="4" t="inlineStr">
        <is>
          <t>λ^k</t>
        </is>
      </c>
      <c r="C24" s="13" t="inlineStr">
        <is>
          <t>λ^k</t>
        </is>
      </c>
      <c r="D24" s="32">
        <f>C16^C12</f>
        <v/>
      </c>
      <c r="E24" s="18" t="inlineStr">
        <is>
          <t>5.125 elevado a la 7.</t>
        </is>
      </c>
    </row>
    <row r="25" ht="22" customHeight="1">
      <c r="B25" s="4" t="inlineStr">
        <is>
          <t>k!</t>
        </is>
      </c>
      <c r="C25" s="13" t="inlineStr">
        <is>
          <t>FACT(k)</t>
        </is>
      </c>
      <c r="D25" s="33">
        <f>FACT(C12)</f>
        <v/>
      </c>
      <c r="E25" s="18" t="inlineStr">
        <is>
          <t>7! = 5040.</t>
        </is>
      </c>
    </row>
    <row r="26" ht="22" customHeight="1">
      <c r="B26" s="4" t="inlineStr">
        <is>
          <t>P(X = k) = e^(−λ) · λ^k / k!</t>
        </is>
      </c>
      <c r="C26" s="13" t="inlineStr">
        <is>
          <t>multiplicar y dividir</t>
        </is>
      </c>
      <c r="D26" s="24">
        <f>D23*D24/D25</f>
        <v/>
      </c>
      <c r="E26" s="18" t="inlineStr">
        <is>
          <t>Se juntan las tres partes.</t>
        </is>
      </c>
    </row>
    <row r="27" ht="22" customHeight="1">
      <c r="B27" s="4" t="inlineStr">
        <is>
          <t>Comprobación con POISSON</t>
        </is>
      </c>
      <c r="C27" s="13" t="inlineStr">
        <is>
          <t>POISSON(k; λ; FALSO)</t>
        </is>
      </c>
      <c r="D27" s="23">
        <f>POISSON(C12,C16,FALSE)</f>
        <v/>
      </c>
      <c r="E27" s="18" t="inlineStr">
        <is>
          <t>La función de Excel hace todo de una vez. Debe dar lo mismo.</t>
        </is>
      </c>
    </row>
    <row r="29">
      <c r="B29" s="3" t="inlineStr">
        <is>
          <t>Paso 6. Resultado</t>
        </is>
      </c>
    </row>
    <row r="30">
      <c r="B30" s="26" t="inlineStr">
        <is>
          <t>P(X = 7) =</t>
        </is>
      </c>
      <c r="C30" s="27">
        <f>D26</f>
        <v/>
      </c>
      <c r="D30" s="28">
        <f>D26</f>
        <v/>
      </c>
    </row>
    <row r="31" ht="34" customHeight="1">
      <c r="B31" s="16">
        <f>"Interpretación: hay una probabilidad de "&amp;TEXT(D26,"0.00%")&amp;" de que, en una hora cualquiera, el agente atienda exactamente a 7 clientes (más o menos 1 de cada 9 horas)."</f>
        <v/>
      </c>
    </row>
    <row r="33">
      <c r="B33" s="3" t="inlineStr">
        <is>
          <t>Extra: la distribución completa (de 0 a 15 clientes en una hora)</t>
        </is>
      </c>
    </row>
    <row r="34" ht="34" customHeight="1">
      <c r="B34" s="16" t="inlineStr">
        <is>
          <t>Probabilidad de cada número de clientes con λ = 5.125. La fila en azul claro es la del ejercicio (k = 7). Fíjate que los valores más probables están cerca del promedio (5 clientes).</t>
        </is>
      </c>
    </row>
    <row r="35" ht="32" customHeight="1">
      <c r="B35" s="11" t="inlineStr">
        <is>
          <t>k (clientes)</t>
        </is>
      </c>
      <c r="C35" s="11" t="inlineStr">
        <is>
          <t>P(X = k)</t>
        </is>
      </c>
      <c r="D35" s="11" t="inlineStr">
        <is>
          <t>P(X ≤ k) acumulada</t>
        </is>
      </c>
    </row>
    <row r="36">
      <c r="B36" s="13" t="n">
        <v>0</v>
      </c>
      <c r="C36" s="23">
        <f>POISSON(B36,$C$16,FALSE)</f>
        <v/>
      </c>
      <c r="D36" s="23">
        <f>POISSON(B36,$C$16,TRUE)</f>
        <v/>
      </c>
    </row>
    <row r="37">
      <c r="B37" s="13" t="n">
        <v>1</v>
      </c>
      <c r="C37" s="23">
        <f>POISSON(B37,$C$16,FALSE)</f>
        <v/>
      </c>
      <c r="D37" s="23">
        <f>POISSON(B37,$C$16,TRUE)</f>
        <v/>
      </c>
    </row>
    <row r="38">
      <c r="B38" s="13" t="n">
        <v>2</v>
      </c>
      <c r="C38" s="23">
        <f>POISSON(B38,$C$16,FALSE)</f>
        <v/>
      </c>
      <c r="D38" s="23">
        <f>POISSON(B38,$C$16,TRUE)</f>
        <v/>
      </c>
    </row>
    <row r="39">
      <c r="B39" s="13" t="n">
        <v>3</v>
      </c>
      <c r="C39" s="23">
        <f>POISSON(B39,$C$16,FALSE)</f>
        <v/>
      </c>
      <c r="D39" s="23">
        <f>POISSON(B39,$C$16,TRUE)</f>
        <v/>
      </c>
    </row>
    <row r="40">
      <c r="B40" s="13" t="n">
        <v>4</v>
      </c>
      <c r="C40" s="23">
        <f>POISSON(B40,$C$16,FALSE)</f>
        <v/>
      </c>
      <c r="D40" s="23">
        <f>POISSON(B40,$C$16,TRUE)</f>
        <v/>
      </c>
    </row>
    <row r="41">
      <c r="B41" s="13" t="n">
        <v>5</v>
      </c>
      <c r="C41" s="23">
        <f>POISSON(B41,$C$16,FALSE)</f>
        <v/>
      </c>
      <c r="D41" s="23">
        <f>POISSON(B41,$C$16,TRUE)</f>
        <v/>
      </c>
    </row>
    <row r="42">
      <c r="B42" s="13" t="n">
        <v>6</v>
      </c>
      <c r="C42" s="23">
        <f>POISSON(B42,$C$16,FALSE)</f>
        <v/>
      </c>
      <c r="D42" s="23">
        <f>POISSON(B42,$C$16,TRUE)</f>
        <v/>
      </c>
    </row>
    <row r="43">
      <c r="B43" s="29" t="n">
        <v>7</v>
      </c>
      <c r="C43" s="30">
        <f>POISSON(B43,$C$16,FALSE)</f>
        <v/>
      </c>
      <c r="D43" s="30">
        <f>POISSON(B43,$C$16,TRUE)</f>
        <v/>
      </c>
    </row>
    <row r="44">
      <c r="B44" s="13" t="n">
        <v>8</v>
      </c>
      <c r="C44" s="23">
        <f>POISSON(B44,$C$16,FALSE)</f>
        <v/>
      </c>
      <c r="D44" s="23">
        <f>POISSON(B44,$C$16,TRUE)</f>
        <v/>
      </c>
    </row>
    <row r="45">
      <c r="B45" s="13" t="n">
        <v>9</v>
      </c>
      <c r="C45" s="23">
        <f>POISSON(B45,$C$16,FALSE)</f>
        <v/>
      </c>
      <c r="D45" s="23">
        <f>POISSON(B45,$C$16,TRUE)</f>
        <v/>
      </c>
    </row>
    <row r="46">
      <c r="B46" s="13" t="n">
        <v>10</v>
      </c>
      <c r="C46" s="23">
        <f>POISSON(B46,$C$16,FALSE)</f>
        <v/>
      </c>
      <c r="D46" s="23">
        <f>POISSON(B46,$C$16,TRUE)</f>
        <v/>
      </c>
    </row>
    <row r="47">
      <c r="B47" s="13" t="n">
        <v>11</v>
      </c>
      <c r="C47" s="23">
        <f>POISSON(B47,$C$16,FALSE)</f>
        <v/>
      </c>
      <c r="D47" s="23">
        <f>POISSON(B47,$C$16,TRUE)</f>
        <v/>
      </c>
    </row>
    <row r="48">
      <c r="B48" s="13" t="n">
        <v>12</v>
      </c>
      <c r="C48" s="23">
        <f>POISSON(B48,$C$16,FALSE)</f>
        <v/>
      </c>
      <c r="D48" s="23">
        <f>POISSON(B48,$C$16,TRUE)</f>
        <v/>
      </c>
    </row>
    <row r="49">
      <c r="B49" s="13" t="n">
        <v>13</v>
      </c>
      <c r="C49" s="23">
        <f>POISSON(B49,$C$16,FALSE)</f>
        <v/>
      </c>
      <c r="D49" s="23">
        <f>POISSON(B49,$C$16,TRUE)</f>
        <v/>
      </c>
    </row>
    <row r="50">
      <c r="B50" s="13" t="n">
        <v>14</v>
      </c>
      <c r="C50" s="23">
        <f>POISSON(B50,$C$16,FALSE)</f>
        <v/>
      </c>
      <c r="D50" s="23">
        <f>POISSON(B50,$C$16,TRUE)</f>
        <v/>
      </c>
    </row>
    <row r="51">
      <c r="B51" s="13" t="n">
        <v>15</v>
      </c>
      <c r="C51" s="23">
        <f>POISSON(B51,$C$16,FALSE)</f>
        <v/>
      </c>
      <c r="D51" s="23">
        <f>POISSON(B51,$C$16,TRUE)</f>
        <v/>
      </c>
    </row>
  </sheetData>
  <mergeCells count="16">
    <mergeCell ref="D12:H12"/>
    <mergeCell ref="E23:H23"/>
    <mergeCell ref="E26:H26"/>
    <mergeCell ref="E27:H27"/>
    <mergeCell ref="D16:H16"/>
    <mergeCell ref="D10:H10"/>
    <mergeCell ref="D11:H11"/>
    <mergeCell ref="B31:H31"/>
    <mergeCell ref="B6:H6"/>
    <mergeCell ref="B34:H34"/>
    <mergeCell ref="B15:H15"/>
    <mergeCell ref="E25:H25"/>
    <mergeCell ref="B3:H3"/>
    <mergeCell ref="B19:H19"/>
    <mergeCell ref="E24:H24"/>
    <mergeCell ref="D9:H9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2026-09-29T05:35:12Z</dcterms:created>
  <dcterms:modified xsi:type="dcterms:W3CDTF">2026-09-29T05:35:12Z</dcterms:modified>
</cp:coreProperties>
</file>