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stos" sheetId="2" state="visible" r:id="rId2"/>
    <sheet name="Quote (clien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"/>
    <numFmt numFmtId="166" formatCode="0.0#"/>
    <numFmt numFmtId="167" formatCode="0.##"/>
    <numFmt numFmtId="168" formatCode="&quot;Project area: &quot;0&quot; sq ft natural stone floor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color rgb="00008000"/>
      <sz val="11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5" fillId="4" borderId="1" applyAlignment="1" pivotButton="0" quotePrefix="0" xfId="0">
      <alignment horizontal="center" vertical="center" wrapText="1"/>
    </xf>
    <xf numFmtId="164" fontId="6" fillId="0" borderId="1" pivotButton="0" quotePrefix="0" xfId="0"/>
    <xf numFmtId="166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6" fillId="0" borderId="1" applyAlignment="1" pivotButton="0" quotePrefix="0" xfId="0">
      <alignment vertical="top" wrapText="1"/>
    </xf>
    <xf numFmtId="167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6" fillId="0" borderId="1" pivotButton="0" quotePrefix="0" xfId="0"/>
    <xf numFmtId="0" fontId="6" fillId="0" borderId="0" pivotButton="0" quotePrefix="0" xfId="0"/>
    <xf numFmtId="168" fontId="7" fillId="0" borderId="0" pivotButton="0" quotePrefix="0" xfId="0"/>
    <xf numFmtId="0" fontId="8" fillId="0" borderId="0" pivotButton="0" quotePrefix="0" xfId="0"/>
    <xf numFmtId="164" fontId="7" fillId="0" borderId="1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Cotización: Junta cementosa de alto desempeño</t>
        </is>
      </c>
    </row>
    <row r="2">
      <c r="A2" s="2" t="inlineStr">
        <is>
          <t>Producto: Laticrete PermaColor Select / Mapei Ultracolor Plus FA</t>
        </is>
      </c>
    </row>
    <row r="4">
      <c r="A4" s="3" t="inlineStr">
        <is>
          <t>Cómo usar este archivo</t>
        </is>
      </c>
    </row>
    <row r="5" ht="30" customHeight="1">
      <c r="A5" s="4" t="inlineStr">
        <is>
          <t>1. Ve a la hoja «Costos» y cambia las celdas AZULES con fondo AMARILLO por tus datos reales: pago por hora, cantidades y precios de material, hospedaje y margen de ganancia.</t>
        </is>
      </c>
    </row>
    <row r="6">
      <c r="A6" s="4" t="inlineStr">
        <is>
          <t>2. Todo lo demás se recalcula solo: costo total, precio de venta, ganancia y margen.</t>
        </is>
      </c>
    </row>
    <row r="7" ht="30" customHeight="1">
      <c r="A7" s="4" t="inlineStr">
        <is>
          <t>3. La hoja «Quote (cliente)» ya está en inglés y toma los números de «Costos» (texto verde = vínculo a otra hoja). Llena nombre, fecha y tus datos, y borra la fila de control interno antes de enviarla.</t>
        </is>
      </c>
    </row>
    <row r="8" ht="30" customHeight="1">
      <c r="A8" s="4" t="inlineStr">
        <is>
          <t>4. El precio se calcula como Costo total ÷ (1 − margen), para que el margen que pidas sea el que realmente ganes.</t>
        </is>
      </c>
    </row>
    <row r="9">
      <c r="A9" s="4" t="inlineStr"/>
    </row>
    <row r="10">
      <c r="A10" s="3" t="inlineStr">
        <is>
          <t>Datos que usé</t>
        </is>
      </c>
    </row>
    <row r="11">
      <c r="A11" s="4" t="inlineStr">
        <is>
          <t>• 530 ft², 2 personas, 2 días en total (día 1: quitar junta y rejuntar; día 2: lavado a mano y sellado).</t>
        </is>
      </c>
    </row>
    <row r="12" ht="30" customHeight="1">
      <c r="A12" s="4" t="inlineStr">
        <is>
          <t>• Sellador J26WB a $400 por cubeta (dato tuyo). Puse 1 cubeta: confirma en la ficha técnica que alcanza para 530 ft² en 2 manos.</t>
        </is>
      </c>
    </row>
    <row r="13" ht="30" customHeight="1">
      <c r="A13" s="4" t="inlineStr">
        <is>
          <t>• Los demás precios son ESTIMACIONES de tiendas en EE. UU.; están marcados en la columna de notas. Verifícalos con tu proveedor.</t>
        </is>
      </c>
    </row>
    <row r="14">
      <c r="A14" s="4" t="inlineStr"/>
    </row>
    <row r="15">
      <c r="A15" s="3" t="inlineStr">
        <is>
          <t>Sobre esta opción de junta</t>
        </is>
      </c>
    </row>
    <row r="16" ht="30" customHeight="1">
      <c r="A16" s="4" t="inlineStr">
        <is>
          <t>✔ Ventajas: Apta para exterior y ciclos de congelación. Más fácil de aplicar y más barata que la epóxica. Menos riesgo de manchar la piedra.</t>
        </is>
      </c>
    </row>
    <row r="17" ht="30" customHeight="1">
      <c r="A17" s="4" t="inlineStr">
        <is>
          <t>✘ Desventajas: Sí necesita sellador (verifica que el J26WB sea compatible). Algo menos resistente al agua y la sal que la epóxica.</t>
        </is>
      </c>
    </row>
    <row r="18">
      <c r="A18" s="4" t="inlineStr"/>
    </row>
    <row r="19">
      <c r="A19" s="3" t="inlineStr">
        <is>
          <t>Importante en clima de Montana</t>
        </is>
      </c>
    </row>
    <row r="20" ht="30" customHeight="1">
      <c r="A20" s="4" t="inlineStr">
        <is>
          <t>• Tiempo de curado: muchas juntas deben curar varios días antes de sellar. Revisa la ficha técnica de la junta: si no se puede sellar al día siguiente, el trabajo puede necesitar una visita extra.</t>
        </is>
      </c>
    </row>
    <row r="21" ht="30" customHeight="1">
      <c r="A21" s="4" t="inlineStr">
        <is>
          <t>• Temperatura: la mayoría de juntas necesitan más de 50 °F (10 °C) al aplicarse y no congelarse en las primeras 72 horas.</t>
        </is>
      </c>
    </row>
    <row r="22" ht="30" customHeight="1">
      <c r="A22" s="4" t="inlineStr">
        <is>
          <t>• Juntas de expansión: en bordes, muros y cada 8–12 ft en exterior, usa sellador flexible de poliuretano, no junta rígida.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Costos y ganancia — Junta cementosa de alto desempeño</t>
        </is>
      </c>
    </row>
    <row r="2">
      <c r="A2" s="2" t="inlineStr">
        <is>
          <t>Producto: Laticrete PermaColor Select / Mapei Ultracolor Plus FA · Piso de piedra 530 ft² · Yellowstone Club, Big Sky, MT</t>
        </is>
      </c>
    </row>
    <row r="3">
      <c r="A3" s="2" t="inlineStr">
        <is>
          <t>Celdas en azul con fondo amarillo = datos que puedes cambiar. Todo lo demás se calcula solo.</t>
        </is>
      </c>
    </row>
    <row r="5">
      <c r="A5" s="5" t="inlineStr">
        <is>
          <t>DATOS GENERALES</t>
        </is>
      </c>
      <c r="B5" s="6" t="n"/>
      <c r="C5" s="6" t="n"/>
      <c r="D5" s="6" t="n"/>
      <c r="E5" s="6" t="n"/>
      <c r="F5" s="6" t="n"/>
    </row>
    <row r="6" ht="30" customHeight="1">
      <c r="A6" s="7" t="inlineStr">
        <is>
          <t>Concepto</t>
        </is>
      </c>
      <c r="B6" s="7" t="inlineStr">
        <is>
          <t>Valor</t>
        </is>
      </c>
      <c r="C6" s="7" t="inlineStr">
        <is>
          <t>Unidad</t>
        </is>
      </c>
      <c r="D6" s="7" t="inlineStr"/>
      <c r="E6" s="7" t="inlineStr"/>
      <c r="F6" s="7" t="inlineStr">
        <is>
          <t>Nota</t>
        </is>
      </c>
    </row>
    <row r="7">
      <c r="A7" s="8" t="inlineStr">
        <is>
          <t>Área del piso</t>
        </is>
      </c>
      <c r="B7" s="9" t="n">
        <v>530</v>
      </c>
      <c r="C7" s="10" t="inlineStr">
        <is>
          <t>ft²</t>
        </is>
      </c>
      <c r="F7" s="11" t="inlineStr">
        <is>
          <t>Dato del usuario.</t>
        </is>
      </c>
    </row>
    <row r="8">
      <c r="A8" s="8" t="inlineStr">
        <is>
          <t>Personas trabajando</t>
        </is>
      </c>
      <c r="B8" s="9" t="n">
        <v>2</v>
      </c>
      <c r="C8" s="10" t="inlineStr">
        <is>
          <t>personas</t>
        </is>
      </c>
      <c r="F8" s="11" t="inlineStr">
        <is>
          <t>Dato del usuario.</t>
        </is>
      </c>
    </row>
    <row r="9">
      <c r="A9" s="8" t="inlineStr">
        <is>
          <t>Horas por día</t>
        </is>
      </c>
      <c r="B9" s="9" t="n">
        <v>9</v>
      </c>
      <c r="C9" s="10" t="inlineStr">
        <is>
          <t>horas</t>
        </is>
      </c>
      <c r="F9" s="11" t="inlineStr">
        <is>
          <t>Estimación: ajusta a tu jornada real.</t>
        </is>
      </c>
    </row>
    <row r="10">
      <c r="A10" s="8" t="inlineStr">
        <is>
          <t>Pago por hora por persona</t>
        </is>
      </c>
      <c r="B10" s="12" t="n">
        <v>35</v>
      </c>
      <c r="C10" s="10" t="inlineStr">
        <is>
          <t>USD/hora</t>
        </is>
      </c>
      <c r="F10" s="11" t="inlineStr">
        <is>
          <t>Estimación: pon lo que pagas a tus trabajadores (o lo que vale tu hora).</t>
        </is>
      </c>
    </row>
    <row r="11">
      <c r="A11" s="8" t="inlineStr">
        <is>
          <t>Contingencia (imprevistos)</t>
        </is>
      </c>
      <c r="B11" s="13" t="n">
        <v>0.1</v>
      </c>
      <c r="C11" s="10" t="inlineStr">
        <is>
          <t>% del costo</t>
        </is>
      </c>
      <c r="F11" s="11" t="inlineStr">
        <is>
          <t>Recomendado 10 %: piezas flojas, juntas más profundas, etc.</t>
        </is>
      </c>
    </row>
    <row r="12">
      <c r="A12" s="8" t="inlineStr">
        <is>
          <t>Margen de ganancia deseado</t>
        </is>
      </c>
      <c r="B12" s="13" t="n">
        <v>0.35</v>
      </c>
      <c r="C12" s="10" t="inlineStr">
        <is>
          <t>% del precio</t>
        </is>
      </c>
      <c r="F12" s="11" t="inlineStr">
        <is>
          <t>20–35 % normal; 35–50 % en trabajos de lujo o remotos.</t>
        </is>
      </c>
    </row>
    <row r="14">
      <c r="A14" s="5" t="inlineStr">
        <is>
          <t>MANO DE OBRA (2 días en total, 2 personas)</t>
        </is>
      </c>
      <c r="B14" s="6" t="n"/>
      <c r="C14" s="6" t="n"/>
      <c r="D14" s="6" t="n"/>
      <c r="E14" s="6" t="n"/>
      <c r="F14" s="6" t="n"/>
    </row>
    <row r="15" ht="30" customHeight="1">
      <c r="A15" s="7" t="inlineStr">
        <is>
          <t>Tarea</t>
        </is>
      </c>
      <c r="B15" s="7" t="inlineStr">
        <is>
          <t>Días</t>
        </is>
      </c>
      <c r="C15" s="7" t="inlineStr">
        <is>
          <t>Unidad</t>
        </is>
      </c>
      <c r="D15" s="7" t="inlineStr">
        <is>
          <t>Costo por día</t>
        </is>
      </c>
      <c r="E15" s="7" t="inlineStr">
        <is>
          <t>Total</t>
        </is>
      </c>
      <c r="F15" s="7" t="inlineStr">
        <is>
          <t>Nota</t>
        </is>
      </c>
    </row>
    <row r="16">
      <c r="A16" s="14" t="inlineStr">
        <is>
          <t>Quitar junta vieja y rejuntar</t>
        </is>
      </c>
      <c r="B16" s="15" t="n">
        <v>1</v>
      </c>
      <c r="C16" s="10" t="inlineStr">
        <is>
          <t>días</t>
        </is>
      </c>
      <c r="D16" s="16">
        <f>$B$8*$B$9*$B$10</f>
        <v/>
      </c>
      <c r="E16" s="16">
        <f>B16*D16</f>
        <v/>
      </c>
      <c r="F16" s="11" t="inlineStr">
        <is>
          <t>Día 1.</t>
        </is>
      </c>
    </row>
    <row r="17">
      <c r="A17" s="14" t="inlineStr">
        <is>
          <t>Lavado profundo a mano</t>
        </is>
      </c>
      <c r="B17" s="15" t="n">
        <v>0.5</v>
      </c>
      <c r="C17" s="10" t="inlineStr">
        <is>
          <t>días</t>
        </is>
      </c>
      <c r="D17" s="16">
        <f>$B$8*$B$9*$B$10</f>
        <v/>
      </c>
      <c r="E17" s="16">
        <f>B17*D17</f>
        <v/>
      </c>
      <c r="F17" s="11" t="inlineStr">
        <is>
          <t>Día 2 (mañana). Lavado 100 % a mano, sin máquina.</t>
        </is>
      </c>
    </row>
    <row r="18">
      <c r="A18" s="14" t="inlineStr">
        <is>
          <t>Sellado con J26WB (2 manos)</t>
        </is>
      </c>
      <c r="B18" s="15" t="n">
        <v>0.5</v>
      </c>
      <c r="C18" s="10" t="inlineStr">
        <is>
          <t>días</t>
        </is>
      </c>
      <c r="D18" s="16">
        <f>$B$8*$B$9*$B$10</f>
        <v/>
      </c>
      <c r="E18" s="16">
        <f>B18*D18</f>
        <v/>
      </c>
      <c r="F18" s="11" t="inlineStr">
        <is>
          <t>Día 2 (tarde). Revisa en la ficha de la junta cuánto tiempo debe curar antes de sellar.</t>
        </is>
      </c>
    </row>
    <row r="19">
      <c r="A19" s="8" t="inlineStr">
        <is>
          <t>Subtotal mano de obra</t>
        </is>
      </c>
      <c r="B19" s="17">
        <f>SUM(B16:B18)</f>
        <v/>
      </c>
      <c r="C19" s="10" t="inlineStr">
        <is>
          <t>días</t>
        </is>
      </c>
      <c r="E19" s="18">
        <f>SUM(E16:E18)</f>
        <v/>
      </c>
    </row>
    <row r="21">
      <c r="A21" s="5" t="inlineStr">
        <is>
          <t>MATERIALES (a precio de tienda)</t>
        </is>
      </c>
      <c r="B21" s="6" t="n"/>
      <c r="C21" s="6" t="n"/>
      <c r="D21" s="6" t="n"/>
      <c r="E21" s="6" t="n"/>
      <c r="F21" s="6" t="n"/>
    </row>
    <row r="22" ht="30" customHeight="1">
      <c r="A22" s="7" t="inlineStr">
        <is>
          <t>Material</t>
        </is>
      </c>
      <c r="B22" s="7" t="inlineStr">
        <is>
          <t>Cantidad</t>
        </is>
      </c>
      <c r="C22" s="7" t="inlineStr">
        <is>
          <t>Unidad</t>
        </is>
      </c>
      <c r="D22" s="7" t="inlineStr">
        <is>
          <t>Precio unitario</t>
        </is>
      </c>
      <c r="E22" s="7" t="inlineStr">
        <is>
          <t>Total</t>
        </is>
      </c>
      <c r="F22" s="7" t="inlineStr">
        <is>
          <t>Nota / fuente</t>
        </is>
      </c>
    </row>
    <row r="23" ht="30" customHeight="1">
      <c r="A23" s="19" t="inlineStr">
        <is>
          <t>Junta cementosa alto desempeño (PermaColor Select / Ultracolor Plus FA)</t>
        </is>
      </c>
      <c r="B23" s="20" t="n">
        <v>6</v>
      </c>
      <c r="C23" s="10" t="inlineStr">
        <is>
          <t>bolsa 25 lb</t>
        </is>
      </c>
      <c r="D23" s="21" t="n">
        <v>45</v>
      </c>
      <c r="E23" s="16">
        <f>B23*D23</f>
        <v/>
      </c>
      <c r="F23" s="11" t="inlineStr">
        <is>
          <t>Estimación: $35–$55 por bolsa; 4–8 bolsas. PermaColor Select se vende aparte del kit de color.</t>
        </is>
      </c>
    </row>
    <row r="24" ht="30" customHeight="1">
      <c r="A24" s="19" t="inlineStr">
        <is>
          <t>Esponjas, llana de hule, cubetas</t>
        </is>
      </c>
      <c r="B24" s="20" t="n">
        <v>1</v>
      </c>
      <c r="C24" s="10" t="inlineStr">
        <is>
          <t>kit</t>
        </is>
      </c>
      <c r="D24" s="21" t="n">
        <v>60</v>
      </c>
      <c r="E24" s="16">
        <f>B24*D24</f>
        <v/>
      </c>
      <c r="F24" s="11" t="inlineStr">
        <is>
          <t>Estimación.</t>
        </is>
      </c>
    </row>
    <row r="25" ht="30" customHeight="1">
      <c r="A25" s="19" t="inlineStr">
        <is>
          <t>Sellador J26WB</t>
        </is>
      </c>
      <c r="B25" s="20" t="n">
        <v>1</v>
      </c>
      <c r="C25" s="10" t="inlineStr">
        <is>
          <t>cubeta</t>
        </is>
      </c>
      <c r="D25" s="21" t="n">
        <v>400</v>
      </c>
      <c r="E25" s="16">
        <f>B25*D25</f>
        <v/>
      </c>
      <c r="F25" s="11" t="inlineStr">
        <is>
          <t>Precio dado por el usuario: $400 por cubeta. Verifica en la ficha técnica cuántos ft² cubre una cubeta en 2 manos; si no alcanza para 530 ft², sube la cantidad.</t>
        </is>
      </c>
    </row>
    <row r="26" ht="30" customHeight="1">
      <c r="A26" s="19" t="inlineStr">
        <is>
          <t>Sellador flexible de poliuretano (juntas de expansión)</t>
        </is>
      </c>
      <c r="B26" s="20" t="n">
        <v>9</v>
      </c>
      <c r="C26" s="10" t="inlineStr">
        <is>
          <t>cartucho 10 oz</t>
        </is>
      </c>
      <c r="D26" s="21" t="n">
        <v>12</v>
      </c>
      <c r="E26" s="16">
        <f>B26*D26</f>
        <v/>
      </c>
      <c r="F26" s="11" t="inlineStr">
        <is>
          <t>Estimación: $8–$15 por cartucho. Para bordes, muros y juntas cada 8–12 ft.</t>
        </is>
      </c>
    </row>
    <row r="27" ht="30" customHeight="1">
      <c r="A27" s="19" t="inlineStr">
        <is>
          <t>Cordón de respaldo (backer rod)</t>
        </is>
      </c>
      <c r="B27" s="20" t="n">
        <v>1</v>
      </c>
      <c r="C27" s="10" t="inlineStr">
        <is>
          <t>rollo</t>
        </is>
      </c>
      <c r="D27" s="21" t="n">
        <v>18</v>
      </c>
      <c r="E27" s="16">
        <f>B27*D27</f>
        <v/>
      </c>
      <c r="F27" s="11" t="inlineStr">
        <is>
          <t>Estimación: $10–$25.</t>
        </is>
      </c>
    </row>
    <row r="28" ht="30" customHeight="1">
      <c r="A28" s="19" t="inlineStr">
        <is>
          <t>Limpiador pH neutro para piedra + cepillos y fibras (lavado a mano)</t>
        </is>
      </c>
      <c r="B28" s="20" t="n">
        <v>1</v>
      </c>
      <c r="C28" s="10" t="inlineStr">
        <is>
          <t>kit</t>
        </is>
      </c>
      <c r="D28" s="21" t="n">
        <v>150</v>
      </c>
      <c r="E28" s="16">
        <f>B28*D28</f>
        <v/>
      </c>
      <c r="F28" s="11" t="inlineStr">
        <is>
          <t>Estimación. Lavado 100 % a mano.</t>
        </is>
      </c>
    </row>
    <row r="29" ht="30" customHeight="1">
      <c r="A29" s="19" t="inlineStr">
        <is>
          <t>Discos/herramienta para quitar junta, cinta, plástico de protección</t>
        </is>
      </c>
      <c r="B29" s="20" t="n">
        <v>1</v>
      </c>
      <c r="C29" s="10" t="inlineStr">
        <is>
          <t>kit</t>
        </is>
      </c>
      <c r="D29" s="21" t="n">
        <v>200</v>
      </c>
      <c r="E29" s="16">
        <f>B29*D29</f>
        <v/>
      </c>
      <c r="F29" s="11" t="inlineStr">
        <is>
          <t>Estimación.</t>
        </is>
      </c>
    </row>
    <row r="30">
      <c r="A30" s="8" t="inlineStr">
        <is>
          <t>Subtotal materiales</t>
        </is>
      </c>
      <c r="E30" s="18">
        <f>SUM(E23:E29)</f>
        <v/>
      </c>
    </row>
    <row r="32">
      <c r="A32" s="5" t="inlineStr">
        <is>
          <t>OTROS COSTOS</t>
        </is>
      </c>
      <c r="B32" s="6" t="n"/>
      <c r="C32" s="6" t="n"/>
      <c r="D32" s="6" t="n"/>
      <c r="E32" s="6" t="n"/>
      <c r="F32" s="6" t="n"/>
    </row>
    <row r="33" ht="30" customHeight="1">
      <c r="A33" s="7" t="inlineStr">
        <is>
          <t>Concepto</t>
        </is>
      </c>
      <c r="B33" s="7" t="inlineStr">
        <is>
          <t>Cantidad</t>
        </is>
      </c>
      <c r="C33" s="7" t="inlineStr">
        <is>
          <t>Unidad</t>
        </is>
      </c>
      <c r="D33" s="7" t="inlineStr">
        <is>
          <t>Precio unitario</t>
        </is>
      </c>
      <c r="E33" s="7" t="inlineStr">
        <is>
          <t>Total</t>
        </is>
      </c>
      <c r="F33" s="7" t="inlineStr">
        <is>
          <t>Nota</t>
        </is>
      </c>
    </row>
    <row r="34">
      <c r="A34" s="14" t="inlineStr">
        <is>
          <t>Gasolina, traslado y comidas</t>
        </is>
      </c>
      <c r="B34" s="20" t="n">
        <v>1</v>
      </c>
      <c r="C34" s="10" t="inlineStr">
        <is>
          <t>viaje</t>
        </is>
      </c>
      <c r="D34" s="21" t="n">
        <v>400</v>
      </c>
      <c r="E34" s="16">
        <f>B34*D34</f>
        <v/>
      </c>
      <c r="F34" s="11" t="inlineStr">
        <is>
          <t>Estimación para 2 días.</t>
        </is>
      </c>
    </row>
    <row r="35">
      <c r="A35" s="14" t="inlineStr">
        <is>
          <t>Hospedaje</t>
        </is>
      </c>
      <c r="B35" s="20" t="n">
        <v>2</v>
      </c>
      <c r="C35" s="10" t="inlineStr">
        <is>
          <t>noches</t>
        </is>
      </c>
      <c r="D35" s="21" t="n">
        <v>200</v>
      </c>
      <c r="E35" s="16">
        <f>B35*D35</f>
        <v/>
      </c>
      <c r="F35" s="11" t="inlineStr">
        <is>
          <t>Estimación. Si vives cerca de Big Sky, pon 0 noches.</t>
        </is>
      </c>
    </row>
    <row r="36">
      <c r="A36" s="14" t="inlineStr">
        <is>
          <t>Seguro / registro de contratista en el club</t>
        </is>
      </c>
      <c r="B36" s="20" t="n">
        <v>1</v>
      </c>
      <c r="C36" s="10" t="inlineStr">
        <is>
          <t>pago</t>
        </is>
      </c>
      <c r="D36" s="21" t="n">
        <v>400</v>
      </c>
      <c r="E36" s="16">
        <f>B36*D36</f>
        <v/>
      </c>
      <c r="F36" s="11" t="inlineStr">
        <is>
          <t>Estimación. El club suele pedir certificado de seguro (COI).</t>
        </is>
      </c>
    </row>
    <row r="37">
      <c r="A37" s="14" t="inlineStr">
        <is>
          <t>Disposición de residuos</t>
        </is>
      </c>
      <c r="B37" s="20" t="n">
        <v>1</v>
      </c>
      <c r="C37" s="10" t="inlineStr">
        <is>
          <t>pago</t>
        </is>
      </c>
      <c r="D37" s="21" t="n">
        <v>100</v>
      </c>
      <c r="E37" s="16">
        <f>B37*D37</f>
        <v/>
      </c>
      <c r="F37" s="11" t="inlineStr">
        <is>
          <t>Estimación.</t>
        </is>
      </c>
    </row>
    <row r="38">
      <c r="A38" s="8" t="inlineStr">
        <is>
          <t>Subtotal otros costos</t>
        </is>
      </c>
      <c r="E38" s="18">
        <f>SUM(E34:E37)</f>
        <v/>
      </c>
    </row>
    <row r="40">
      <c r="A40" s="5" t="inlineStr">
        <is>
          <t>RESUMEN: COSTO, PRECIO Y GANANCIA</t>
        </is>
      </c>
      <c r="B40" s="6" t="n"/>
      <c r="C40" s="6" t="n"/>
      <c r="D40" s="6" t="n"/>
      <c r="E40" s="6" t="n"/>
      <c r="F40" s="6" t="n"/>
    </row>
    <row r="41">
      <c r="A41" s="14" t="inlineStr">
        <is>
          <t>Costo directo (mano de obra + materiales + otros)</t>
        </is>
      </c>
      <c r="E41" s="16">
        <f>E19+E30+E38</f>
        <v/>
      </c>
    </row>
    <row r="42">
      <c r="A42" s="14" t="inlineStr">
        <is>
          <t>Contingencia</t>
        </is>
      </c>
      <c r="E42" s="16">
        <f>E41*$B$11</f>
        <v/>
      </c>
    </row>
    <row r="43">
      <c r="A43" s="22" t="inlineStr">
        <is>
          <t>COSTO TOTAL (lo que te cuesta a ti)</t>
        </is>
      </c>
      <c r="E43" s="23">
        <f>E41+E42</f>
        <v/>
      </c>
    </row>
    <row r="44">
      <c r="A44" s="22" t="inlineStr">
        <is>
          <t>PRECIO DE VENTA (lo que cobras)</t>
        </is>
      </c>
      <c r="E44" s="23">
        <f>E43/(1-$B$12)</f>
        <v/>
      </c>
      <c r="F44" s="11" t="inlineStr">
        <is>
          <t>Precio = Costo total ÷ (1 − margen). Así el margen sale exacto.</t>
        </is>
      </c>
    </row>
    <row r="45">
      <c r="A45" s="22" t="inlineStr">
        <is>
          <t>GANANCIA</t>
        </is>
      </c>
      <c r="E45" s="23">
        <f>E44-E43</f>
        <v/>
      </c>
    </row>
    <row r="46">
      <c r="A46" s="14" t="inlineStr">
        <is>
          <t>Margen real</t>
        </is>
      </c>
      <c r="E46" s="24">
        <f>IF(E44=0,0,E45/E44)</f>
        <v/>
      </c>
      <c r="F46" s="11" t="inlineStr">
        <is>
          <t>Comprobación: debe ser igual al margen deseado.</t>
        </is>
      </c>
    </row>
    <row r="47">
      <c r="A47" s="14" t="inlineStr">
        <is>
          <t>Precio por ft²</t>
        </is>
      </c>
      <c r="E47" s="16">
        <f>E44/$B$7</f>
        <v/>
      </c>
    </row>
    <row r="48">
      <c r="A48" s="14" t="inlineStr">
        <is>
          <t>Ganancia por persona por día</t>
        </is>
      </c>
      <c r="E48" s="16">
        <f>IF(B19*$B$8=0,0,E45/(B19*$B$8))</f>
        <v/>
      </c>
      <c r="F48" s="11" t="inlineStr">
        <is>
          <t>Ganancia ÷ (días × personas).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4" customWidth="1" min="3" max="3"/>
  </cols>
  <sheetData>
    <row r="1">
      <c r="A1" s="1" t="inlineStr">
        <is>
          <t>ESTIMATE — Stone Floor Restoration</t>
        </is>
      </c>
    </row>
    <row r="3">
      <c r="A3" s="25" t="inlineStr">
        <is>
          <t>Client: ______________________________</t>
        </is>
      </c>
    </row>
    <row r="4">
      <c r="A4" s="25" t="inlineStr">
        <is>
          <t>Location: Yellowstone Club, Big Sky, MT</t>
        </is>
      </c>
    </row>
    <row r="5">
      <c r="A5" s="25" t="inlineStr">
        <is>
          <t>Date: ______________    Valid for: 30 days</t>
        </is>
      </c>
    </row>
    <row r="6">
      <c r="A6" s="26">
        <f>'Costos'!B7</f>
        <v/>
      </c>
    </row>
    <row r="8">
      <c r="A8" s="27" t="inlineStr">
        <is>
          <t>Scope of work</t>
        </is>
      </c>
    </row>
    <row r="9" ht="16" customHeight="1">
      <c r="A9" s="4" t="inlineStr">
        <is>
          <t>1. Protect surrounding surfaces, walls, and fixtures.</t>
        </is>
      </c>
    </row>
    <row r="10" ht="16" customHeight="1">
      <c r="A10" s="4" t="inlineStr">
        <is>
          <t>2. Remove existing grout from all joints.</t>
        </is>
      </c>
    </row>
    <row r="11" ht="30" customHeight="1">
      <c r="A11" s="4" t="inlineStr">
        <is>
          <t>3. Re-grout all joints with high-performance, freeze-thaw rated cementitious grout (Laticrete PermaColor Select or equivalent).</t>
        </is>
      </c>
    </row>
    <row r="12" ht="30" customHeight="1">
      <c r="A12" s="4" t="inlineStr">
        <is>
          <t>4. Hand-scrub deep cleaning of the entire stone surface using a pH-neutral, stone-safe cleaner and soft brushes (no machines), including haze removal, rinsing, and drying.</t>
        </is>
      </c>
    </row>
    <row r="13" ht="16" customHeight="1">
      <c r="A13" s="4" t="inlineStr">
        <is>
          <t>5. Apply J26WB sealer (2 coats) per manufacturer specifications.</t>
        </is>
      </c>
    </row>
    <row r="14" ht="16" customHeight="1">
      <c r="A14" s="4" t="inlineStr">
        <is>
          <t>6. Install flexible polyurethane sealant at perimeter and movement joints.</t>
        </is>
      </c>
    </row>
    <row r="15" ht="16" customHeight="1">
      <c r="A15" s="4" t="inlineStr">
        <is>
          <t>7. Final cleanup and disposal of debris.</t>
        </is>
      </c>
    </row>
    <row r="17">
      <c r="A17" s="7" t="inlineStr">
        <is>
          <t>Item</t>
        </is>
      </c>
      <c r="B17" s="7" t="inlineStr">
        <is>
          <t>Amount (USD)</t>
        </is>
      </c>
    </row>
    <row r="18">
      <c r="A18" s="19" t="inlineStr">
        <is>
          <t>Grout removal &amp; re-grouting (labor)</t>
        </is>
      </c>
      <c r="B18" s="28">
        <f>'Costos'!E16*(1+'Costos'!$B$11)/(1-'Costos'!$B$12)</f>
        <v/>
      </c>
    </row>
    <row r="19">
      <c r="A19" s="19" t="inlineStr">
        <is>
          <t>Hand-scrub deep cleaning (labor)</t>
        </is>
      </c>
      <c r="B19" s="28">
        <f>'Costos'!E17*(1+'Costos'!$B$11)/(1-'Costos'!$B$12)</f>
        <v/>
      </c>
    </row>
    <row r="20">
      <c r="A20" s="19" t="inlineStr">
        <is>
          <t>Sealing – 2 coats (labor)</t>
        </is>
      </c>
      <c r="B20" s="28">
        <f>'Costos'!E18*(1+'Costos'!$B$11)/(1-'Costos'!$B$12)</f>
        <v/>
      </c>
    </row>
    <row r="21">
      <c r="A21" s="19" t="inlineStr">
        <is>
          <t>Materials (high-performance cementitious grout (Laticrete PermaColor Select or equivalent), J26WB sealer, sealant, supplies)</t>
        </is>
      </c>
      <c r="B21" s="28">
        <f>'Costos'!E30*(1+'Costos'!$B$11)/(1-'Costos'!$B$12)</f>
        <v/>
      </c>
    </row>
    <row r="22">
      <c r="A22" s="19" t="inlineStr">
        <is>
          <t>Mobilization, travel &amp; site requirements</t>
        </is>
      </c>
      <c r="B22" s="28">
        <f>'Costos'!E38*(1+'Costos'!$B$11)/(1-'Costos'!$B$12)</f>
        <v/>
      </c>
    </row>
    <row r="23">
      <c r="A23" s="22" t="inlineStr">
        <is>
          <t>TOTAL</t>
        </is>
      </c>
      <c r="B23" s="23">
        <f>SUM(B18:B22)</f>
        <v/>
      </c>
    </row>
    <row r="25">
      <c r="A25" s="27" t="inlineStr">
        <is>
          <t>Terms &amp; notes</t>
        </is>
      </c>
    </row>
    <row r="26" ht="30" customHeight="1">
      <c r="A26" s="4" t="inlineStr">
        <is>
          <t>• Estimated duration: 2 working days (plus cure time required by the grout and sealer manufacturers).</t>
        </is>
      </c>
    </row>
    <row r="27" ht="30" customHeight="1">
      <c r="A27" s="4" t="inlineStr">
        <is>
          <t>• Payment terms: 50% deposit to schedule, balance upon completion.</t>
        </is>
      </c>
    </row>
    <row r="28" ht="30" customHeight="1">
      <c r="A28" s="4" t="inlineStr">
        <is>
          <t>• Price assumes stone is in sound condition. Repair or replacement of loose or damaged stones, if needed, will be quoted separately.</t>
        </is>
      </c>
    </row>
    <row r="29" ht="30" customHeight="1">
      <c r="A29" s="4" t="inlineStr">
        <is>
          <t>• Foot traffic should be limited for 24–72 hours after sealing.</t>
        </is>
      </c>
    </row>
    <row r="31">
      <c r="A31" s="25" t="inlineStr">
        <is>
          <t>Contractor: ______________________   Phone / Email: ______________________</t>
        </is>
      </c>
    </row>
    <row r="33">
      <c r="A33" s="2" t="inlineStr">
        <is>
          <t>Control interno (borra esta fila antes de enviar): el total debe ser igual al PRECIO DE VENTA de la hoja Costos →</t>
        </is>
      </c>
      <c r="B33" s="29">
        <f>B23-'Costos'!E44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2026-10-08T01:49:10Z</dcterms:created>
  <dcterms:modified xsi:type="dcterms:W3CDTF">2026-10-08T01:49:10Z</dcterms:modified>
</cp:coreProperties>
</file>