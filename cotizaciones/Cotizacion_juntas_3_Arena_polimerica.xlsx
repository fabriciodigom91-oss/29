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Arena polimérica</t>
        </is>
      </c>
    </row>
    <row r="2">
      <c r="A2" s="2" t="inlineStr">
        <is>
          <t>Producto: Techniseal HP NextGel / Alliance Gator Maxx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>
      <c r="A11" s="4" t="inlineStr">
        <is>
          <t>• 530 ft², 2 personas,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Ideal si la piedra está asentada sobre ARENA o GRAVA: se mantiene algo flexible con las heladas. Fácil de aplicar.</t>
        </is>
      </c>
    </row>
    <row r="17" ht="30" customHeight="1">
      <c r="A17" s="4" t="inlineStr">
        <is>
          <t>✘ Desventajas: SOLO sirve si la piedra está sobre arena o grava, NO sobre concreto. Hay que confirmar que el J26WB sea compatible con arena polimérica y respetar su tiempo de curado antes de sellar.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Arena polimérica</t>
        </is>
      </c>
    </row>
    <row r="2">
      <c r="A2" s="2" t="inlineStr">
        <is>
          <t>Producto: Techniseal HP NextGel / Alliance Gator Maxx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Horas por día</t>
        </is>
      </c>
      <c r="B9" s="9" t="n">
        <v>9</v>
      </c>
      <c r="C9" s="10" t="inlineStr">
        <is>
          <t>horas</t>
        </is>
      </c>
      <c r="F9" s="11" t="inlineStr">
        <is>
          <t>Estimación: ajusta a tu jornada real.</t>
        </is>
      </c>
    </row>
    <row r="10">
      <c r="A10" s="8" t="inlineStr">
        <is>
          <t>Pago por hora por persona</t>
        </is>
      </c>
      <c r="B10" s="12" t="n">
        <v>35</v>
      </c>
      <c r="C10" s="10" t="inlineStr">
        <is>
          <t>USD/hora</t>
        </is>
      </c>
      <c r="F10" s="11" t="inlineStr">
        <is>
          <t>Estimación: pon lo que pagas a tus trabajadores (o lo que vale tu hora).</t>
        </is>
      </c>
    </row>
    <row r="11">
      <c r="A11" s="8" t="inlineStr">
        <is>
          <t>Contingencia (imprevistos)</t>
        </is>
      </c>
      <c r="B11" s="13" t="n">
        <v>0.1</v>
      </c>
      <c r="C11" s="10" t="inlineStr">
        <is>
          <t>% del costo</t>
        </is>
      </c>
      <c r="F11" s="11" t="inlineStr">
        <is>
          <t>Recomendado 10 %: piezas flojas, juntas más profundas, etc.</t>
        </is>
      </c>
    </row>
    <row r="12">
      <c r="A12" s="8" t="inlineStr">
        <is>
          <t>Margen de ganancia deseado</t>
        </is>
      </c>
      <c r="B12" s="13" t="n">
        <v>0.35</v>
      </c>
      <c r="C12" s="10" t="inlineStr">
        <is>
          <t>% del precio</t>
        </is>
      </c>
      <c r="F12" s="11" t="inlineStr">
        <is>
          <t>20–35 % normal; 35–50 % en trabajos de lujo o remotos.</t>
        </is>
      </c>
    </row>
    <row r="14">
      <c r="A14" s="5" t="inlineStr">
        <is>
          <t>MANO DE OBRA (2 días en total, 2 personas)</t>
        </is>
      </c>
      <c r="B14" s="6" t="n"/>
      <c r="C14" s="6" t="n"/>
      <c r="D14" s="6" t="n"/>
      <c r="E14" s="6" t="n"/>
      <c r="F14" s="6" t="n"/>
    </row>
    <row r="15" ht="30" customHeight="1">
      <c r="A15" s="7" t="inlineStr">
        <is>
          <t>Tarea</t>
        </is>
      </c>
      <c r="B15" s="7" t="inlineStr">
        <is>
          <t>Días</t>
        </is>
      </c>
      <c r="C15" s="7" t="inlineStr">
        <is>
          <t>Unidad</t>
        </is>
      </c>
      <c r="D15" s="7" t="inlineStr">
        <is>
          <t>Costo por día</t>
        </is>
      </c>
      <c r="E15" s="7" t="inlineStr">
        <is>
          <t>Total</t>
        </is>
      </c>
      <c r="F15" s="7" t="inlineStr">
        <is>
          <t>Nota</t>
        </is>
      </c>
    </row>
    <row r="16">
      <c r="A16" s="14" t="inlineStr">
        <is>
          <t>Quitar junta vieja y rejuntar</t>
        </is>
      </c>
      <c r="B16" s="15" t="n">
        <v>1</v>
      </c>
      <c r="C16" s="10" t="inlineStr">
        <is>
          <t>días</t>
        </is>
      </c>
      <c r="D16" s="16">
        <f>$B$8*$B$9*$B$10</f>
        <v/>
      </c>
      <c r="E16" s="16">
        <f>B16*D16</f>
        <v/>
      </c>
      <c r="F16" s="11" t="inlineStr">
        <is>
          <t>Día 1.</t>
        </is>
      </c>
    </row>
    <row r="17">
      <c r="A17" s="14" t="inlineStr">
        <is>
          <t>Lavado profundo a mano</t>
        </is>
      </c>
      <c r="B17" s="15" t="n">
        <v>0.5</v>
      </c>
      <c r="C17" s="10" t="inlineStr">
        <is>
          <t>días</t>
        </is>
      </c>
      <c r="D17" s="16">
        <f>$B$8*$B$9*$B$10</f>
        <v/>
      </c>
      <c r="E17" s="16">
        <f>B17*D17</f>
        <v/>
      </c>
      <c r="F17" s="11" t="inlineStr">
        <is>
          <t>Día 2 (mañana). Lavado 100 % a mano, sin máquina.</t>
        </is>
      </c>
    </row>
    <row r="18">
      <c r="A18" s="14" t="inlineStr">
        <is>
          <t>Sellado con J26WB (2 manos)</t>
        </is>
      </c>
      <c r="B18" s="15" t="n">
        <v>0.5</v>
      </c>
      <c r="C18" s="10" t="inlineStr">
        <is>
          <t>días</t>
        </is>
      </c>
      <c r="D18" s="16">
        <f>$B$8*$B$9*$B$10</f>
        <v/>
      </c>
      <c r="E18" s="16">
        <f>B18*D18</f>
        <v/>
      </c>
      <c r="F18" s="11" t="inlineStr">
        <is>
          <t>Día 2 (tarde). Revisa en la ficha de la junta cuánto tiempo debe curar antes de sellar.</t>
        </is>
      </c>
    </row>
    <row r="19">
      <c r="A19" s="8" t="inlineStr">
        <is>
          <t>Subtotal mano de obra</t>
        </is>
      </c>
      <c r="B19" s="17">
        <f>SUM(B16:B18)</f>
        <v/>
      </c>
      <c r="C19" s="10" t="inlineStr">
        <is>
          <t>días</t>
        </is>
      </c>
      <c r="E19" s="18">
        <f>SUM(E16:E18)</f>
        <v/>
      </c>
    </row>
    <row r="21">
      <c r="A21" s="5" t="inlineStr">
        <is>
          <t>MATERIALES (a precio de tienda)</t>
        </is>
      </c>
      <c r="B21" s="6" t="n"/>
      <c r="C21" s="6" t="n"/>
      <c r="D21" s="6" t="n"/>
      <c r="E21" s="6" t="n"/>
      <c r="F21" s="6" t="n"/>
    </row>
    <row r="22" ht="30" customHeight="1">
      <c r="A22" s="7" t="inlineStr">
        <is>
          <t>Material</t>
        </is>
      </c>
      <c r="B22" s="7" t="inlineStr">
        <is>
          <t>Cantidad</t>
        </is>
      </c>
      <c r="C22" s="7" t="inlineStr">
        <is>
          <t>Unidad</t>
        </is>
      </c>
      <c r="D22" s="7" t="inlineStr">
        <is>
          <t>Precio unitario</t>
        </is>
      </c>
      <c r="E22" s="7" t="inlineStr">
        <is>
          <t>Total</t>
        </is>
      </c>
      <c r="F22" s="7" t="inlineStr">
        <is>
          <t>Nota / fuente</t>
        </is>
      </c>
    </row>
    <row r="23" ht="30" customHeight="1">
      <c r="A23" s="19" t="inlineStr">
        <is>
          <t>Arena polimérica (Techniseal / Gator)</t>
        </is>
      </c>
      <c r="B23" s="20" t="n">
        <v>14</v>
      </c>
      <c r="C23" s="10" t="inlineStr">
        <is>
          <t>bolsa 50 lb</t>
        </is>
      </c>
      <c r="D23" s="21" t="n">
        <v>38</v>
      </c>
      <c r="E23" s="16">
        <f>B23*D23</f>
        <v/>
      </c>
      <c r="F23" s="11" t="inlineStr">
        <is>
          <t>Estimación: $30–$45 por bolsa; 8–20 bolsas según ancho y profundidad de junta.</t>
        </is>
      </c>
    </row>
    <row r="24" ht="30" customHeight="1">
      <c r="A24" s="19" t="inlineStr">
        <is>
          <t>Cepillo de cerdas duras, sopladora, manguera con aspersor</t>
        </is>
      </c>
      <c r="B24" s="20" t="n">
        <v>1</v>
      </c>
      <c r="C24" s="10" t="inlineStr">
        <is>
          <t>kit</t>
        </is>
      </c>
      <c r="D24" s="21" t="n">
        <v>60</v>
      </c>
      <c r="E24" s="16">
        <f>B24*D24</f>
        <v/>
      </c>
      <c r="F24" s="11" t="inlineStr">
        <is>
          <t>Estimación.</t>
        </is>
      </c>
    </row>
    <row r="25" ht="30" customHeight="1">
      <c r="A25" s="19" t="inlineStr">
        <is>
          <t>Sellador J26WB</t>
        </is>
      </c>
      <c r="B25" s="20" t="n">
        <v>1</v>
      </c>
      <c r="C25" s="10" t="inlineStr">
        <is>
          <t>cubeta</t>
        </is>
      </c>
      <c r="D25" s="21" t="n">
        <v>400</v>
      </c>
      <c r="E25" s="16">
        <f>B25*D25</f>
        <v/>
      </c>
      <c r="F25" s="11" t="inlineStr">
        <is>
          <t>Precio dado por el usuario: $400 por cubeta. Verifica en la ficha técnica cuántos ft² cubre una cubeta en 2 manos; si no alcanza para 530 ft², sube la cantidad.</t>
        </is>
      </c>
    </row>
    <row r="26" ht="30" customHeight="1">
      <c r="A26" s="19" t="inlineStr">
        <is>
          <t>Sellador flexible de poliuretano (juntas de expansión)</t>
        </is>
      </c>
      <c r="B26" s="20" t="n">
        <v>9</v>
      </c>
      <c r="C26" s="10" t="inlineStr">
        <is>
          <t>cartucho 10 oz</t>
        </is>
      </c>
      <c r="D26" s="21" t="n">
        <v>12</v>
      </c>
      <c r="E26" s="16">
        <f>B26*D26</f>
        <v/>
      </c>
      <c r="F26" s="11" t="inlineStr">
        <is>
          <t>Estimación: $8–$15 por cartucho. Para bordes, muros y juntas cada 8–12 ft.</t>
        </is>
      </c>
    </row>
    <row r="27" ht="30" customHeight="1">
      <c r="A27" s="19" t="inlineStr">
        <is>
          <t>Cordón de respaldo (backer rod)</t>
        </is>
      </c>
      <c r="B27" s="20" t="n">
        <v>1</v>
      </c>
      <c r="C27" s="10" t="inlineStr">
        <is>
          <t>rollo</t>
        </is>
      </c>
      <c r="D27" s="21" t="n">
        <v>18</v>
      </c>
      <c r="E27" s="16">
        <f>B27*D27</f>
        <v/>
      </c>
      <c r="F27" s="11" t="inlineStr">
        <is>
          <t>Estimación: $10–$25.</t>
        </is>
      </c>
    </row>
    <row r="28" ht="30" customHeight="1">
      <c r="A28" s="19" t="inlineStr">
        <is>
          <t>Limpiador pH neutro para piedra + cepillos y fibras (lavado a mano)</t>
        </is>
      </c>
      <c r="B28" s="20" t="n">
        <v>1</v>
      </c>
      <c r="C28" s="10" t="inlineStr">
        <is>
          <t>kit</t>
        </is>
      </c>
      <c r="D28" s="21" t="n">
        <v>150</v>
      </c>
      <c r="E28" s="16">
        <f>B28*D28</f>
        <v/>
      </c>
      <c r="F28" s="11" t="inlineStr">
        <is>
          <t>Estimación. Lavado 100 % a mano.</t>
        </is>
      </c>
    </row>
    <row r="29" ht="30" customHeight="1">
      <c r="A29" s="19" t="inlineStr">
        <is>
          <t>Discos/herramienta para quitar junta, cinta, plástico de protección</t>
        </is>
      </c>
      <c r="B29" s="20" t="n">
        <v>1</v>
      </c>
      <c r="C29" s="10" t="inlineStr">
        <is>
          <t>kit</t>
        </is>
      </c>
      <c r="D29" s="21" t="n">
        <v>200</v>
      </c>
      <c r="E29" s="16">
        <f>B29*D29</f>
        <v/>
      </c>
      <c r="F29" s="11" t="inlineStr">
        <is>
          <t>Estimación.</t>
        </is>
      </c>
    </row>
    <row r="30">
      <c r="A30" s="8" t="inlineStr">
        <is>
          <t>Subtotal materiales</t>
        </is>
      </c>
      <c r="E30" s="18">
        <f>SUM(E23:E29)</f>
        <v/>
      </c>
    </row>
    <row r="32">
      <c r="A32" s="5" t="inlineStr">
        <is>
          <t>OTROS COSTOS</t>
        </is>
      </c>
      <c r="B32" s="6" t="n"/>
      <c r="C32" s="6" t="n"/>
      <c r="D32" s="6" t="n"/>
      <c r="E32" s="6" t="n"/>
      <c r="F32" s="6" t="n"/>
    </row>
    <row r="33" ht="30" customHeight="1">
      <c r="A33" s="7" t="inlineStr">
        <is>
          <t>Concepto</t>
        </is>
      </c>
      <c r="B33" s="7" t="inlineStr">
        <is>
          <t>Cantidad</t>
        </is>
      </c>
      <c r="C33" s="7" t="inlineStr">
        <is>
          <t>Unidad</t>
        </is>
      </c>
      <c r="D33" s="7" t="inlineStr">
        <is>
          <t>Precio unitario</t>
        </is>
      </c>
      <c r="E33" s="7" t="inlineStr">
        <is>
          <t>Total</t>
        </is>
      </c>
      <c r="F33" s="7" t="inlineStr">
        <is>
          <t>Nota</t>
        </is>
      </c>
    </row>
    <row r="34">
      <c r="A34" s="14" t="inlineStr">
        <is>
          <t>Gasolina, traslado y comidas</t>
        </is>
      </c>
      <c r="B34" s="20" t="n">
        <v>1</v>
      </c>
      <c r="C34" s="10" t="inlineStr">
        <is>
          <t>viaje</t>
        </is>
      </c>
      <c r="D34" s="21" t="n">
        <v>400</v>
      </c>
      <c r="E34" s="16">
        <f>B34*D34</f>
        <v/>
      </c>
      <c r="F34" s="11" t="inlineStr">
        <is>
          <t>Estimación para 2 días.</t>
        </is>
      </c>
    </row>
    <row r="35">
      <c r="A35" s="14" t="inlineStr">
        <is>
          <t>Hospedaje</t>
        </is>
      </c>
      <c r="B35" s="20" t="n">
        <v>2</v>
      </c>
      <c r="C35" s="10" t="inlineStr">
        <is>
          <t>noches</t>
        </is>
      </c>
      <c r="D35" s="21" t="n">
        <v>200</v>
      </c>
      <c r="E35" s="16">
        <f>B35*D35</f>
        <v/>
      </c>
      <c r="F35" s="11" t="inlineStr">
        <is>
          <t>Estimación. Si vives cerca de Big Sky, pon 0 noches.</t>
        </is>
      </c>
    </row>
    <row r="36">
      <c r="A36" s="14" t="inlineStr">
        <is>
          <t>Seguro / registro de contratista en el club</t>
        </is>
      </c>
      <c r="B36" s="20" t="n">
        <v>1</v>
      </c>
      <c r="C36" s="10" t="inlineStr">
        <is>
          <t>pago</t>
        </is>
      </c>
      <c r="D36" s="21" t="n">
        <v>400</v>
      </c>
      <c r="E36" s="16">
        <f>B36*D36</f>
        <v/>
      </c>
      <c r="F36" s="11" t="inlineStr">
        <is>
          <t>Estimación. El club suele pedir certificado de seguro (COI).</t>
        </is>
      </c>
    </row>
    <row r="37">
      <c r="A37" s="14" t="inlineStr">
        <is>
          <t>Disposición de residuos</t>
        </is>
      </c>
      <c r="B37" s="20" t="n">
        <v>1</v>
      </c>
      <c r="C37" s="10" t="inlineStr">
        <is>
          <t>pago</t>
        </is>
      </c>
      <c r="D37" s="21" t="n">
        <v>100</v>
      </c>
      <c r="E37" s="16">
        <f>B37*D37</f>
        <v/>
      </c>
      <c r="F37" s="11" t="inlineStr">
        <is>
          <t>Estimación.</t>
        </is>
      </c>
    </row>
    <row r="38">
      <c r="A38" s="8" t="inlineStr">
        <is>
          <t>Subtotal otros costos</t>
        </is>
      </c>
      <c r="E38" s="18">
        <f>SUM(E34:E37)</f>
        <v/>
      </c>
    </row>
    <row r="40">
      <c r="A40" s="5" t="inlineStr">
        <is>
          <t>RESUMEN: COSTO, PRECIO Y GANANCIA</t>
        </is>
      </c>
      <c r="B40" s="6" t="n"/>
      <c r="C40" s="6" t="n"/>
      <c r="D40" s="6" t="n"/>
      <c r="E40" s="6" t="n"/>
      <c r="F40" s="6" t="n"/>
    </row>
    <row r="41">
      <c r="A41" s="14" t="inlineStr">
        <is>
          <t>Costo directo (mano de obra + materiales + otros)</t>
        </is>
      </c>
      <c r="E41" s="16">
        <f>E19+E30+E38</f>
        <v/>
      </c>
    </row>
    <row r="42">
      <c r="A42" s="14" t="inlineStr">
        <is>
          <t>Contingencia</t>
        </is>
      </c>
      <c r="E42" s="16">
        <f>E41*$B$11</f>
        <v/>
      </c>
    </row>
    <row r="43">
      <c r="A43" s="22" t="inlineStr">
        <is>
          <t>COSTO TOTAL (lo que te cuesta a ti)</t>
        </is>
      </c>
      <c r="E43" s="23">
        <f>E41+E42</f>
        <v/>
      </c>
    </row>
    <row r="44">
      <c r="A44" s="22" t="inlineStr">
        <is>
          <t>PRECIO DE VENTA (lo que cobras)</t>
        </is>
      </c>
      <c r="E44" s="23">
        <f>E43/(1-$B$12)</f>
        <v/>
      </c>
      <c r="F44" s="11" t="inlineStr">
        <is>
          <t>Precio = Costo total ÷ (1 − margen). Así el margen sale exacto.</t>
        </is>
      </c>
    </row>
    <row r="45">
      <c r="A45" s="22" t="inlineStr">
        <is>
          <t>GANANCIA</t>
        </is>
      </c>
      <c r="E45" s="23">
        <f>E44-E43</f>
        <v/>
      </c>
    </row>
    <row r="46">
      <c r="A46" s="14" t="inlineStr">
        <is>
          <t>Margen real</t>
        </is>
      </c>
      <c r="E46" s="24">
        <f>IF(E44=0,0,E45/E44)</f>
        <v/>
      </c>
      <c r="F46" s="11" t="inlineStr">
        <is>
          <t>Comprobación: debe ser igual al margen deseado.</t>
        </is>
      </c>
    </row>
    <row r="47">
      <c r="A47" s="14" t="inlineStr">
        <is>
          <t>Precio por ft²</t>
        </is>
      </c>
      <c r="E47" s="16">
        <f>E44/$B$7</f>
        <v/>
      </c>
    </row>
    <row r="48">
      <c r="A48" s="14" t="inlineStr">
        <is>
          <t>Ganancia por persona por día</t>
        </is>
      </c>
      <c r="E48" s="16">
        <f>IF(B19*$B$8=0,0,E45/(B19*$B$8))</f>
        <v/>
      </c>
      <c r="F48" s="11" t="inlineStr">
        <is>
          <t>Ganancia ÷ (días × personas).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Refill all joints with polymeric sand (Techniseal HP NextGel or equivalent), compacted and activated per manufacturer specifications.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'Costos'!E16*(1+'Costos'!$B$11)/(1-'Costos'!$B$12)</f>
        <v/>
      </c>
    </row>
    <row r="19">
      <c r="A19" s="19" t="inlineStr">
        <is>
          <t>Hand-scrub deep cleaning (labor)</t>
        </is>
      </c>
      <c r="B19" s="28">
        <f>'Costos'!E17*(1+'Costos'!$B$11)/(1-'Costos'!$B$12)</f>
        <v/>
      </c>
    </row>
    <row r="20">
      <c r="A20" s="19" t="inlineStr">
        <is>
          <t>Sealing – 2 coats (labor)</t>
        </is>
      </c>
      <c r="B20" s="28">
        <f>'Costos'!E18*(1+'Costos'!$B$11)/(1-'Costos'!$B$12)</f>
        <v/>
      </c>
    </row>
    <row r="21">
      <c r="A21" s="19" t="inlineStr">
        <is>
          <t>Materials (polymeric sand (Techniseal HP NextGel or equivalent), J26WB sealer, sealant, supplies)</t>
        </is>
      </c>
      <c r="B21" s="28">
        <f>'Costos'!E30*(1+'Costos'!$B$11)/(1-'Costos'!$B$12)</f>
        <v/>
      </c>
    </row>
    <row r="22">
      <c r="A22" s="19" t="inlineStr">
        <is>
          <t>Mobilization, travel &amp; site requirements</t>
        </is>
      </c>
      <c r="B22" s="28">
        <f>'Costos'!E38*(1+'Costos'!$B$11)/(1-'Costos'!$B$12)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2026-10-08T01:49:10Z</dcterms:created>
  <dcterms:modified xsi:type="dcterms:W3CDTF">2026-10-08T01:49:10Z</dcterms:modified>
</cp:coreProperties>
</file>