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Junta epóxica</t>
        </is>
      </c>
    </row>
    <row r="2">
      <c r="A2" s="2" t="inlineStr">
        <is>
          <t>Producto: Laticrete SpectraLOCK Pro / Mapei Kerapoxy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La más resistente: 100 % impermeable, resiste nieve, heladas y sal para derretir nieve. No necesita sellador en la junta.</t>
        </is>
      </c>
    </row>
    <row r="17" ht="30" customHeight="1">
      <c r="A17" s="4" t="inlineStr">
        <is>
          <t>✘ Desventajas: La más cara y la más difícil de aplicar (seca rápido). En piedra porosa hay que pre-sellar la piedra. Verifica que sea apta para exterior y freeze-thaw.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Junta epóxica</t>
        </is>
      </c>
    </row>
    <row r="2">
      <c r="A2" s="2" t="inlineStr">
        <is>
          <t>Producto: Laticrete SpectraLOCK Pro / Mapei Kerapoxy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0.55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Junta epóxica (SpectraLOCK Pro / Kerapoxy)</t>
        </is>
      </c>
      <c r="B24" s="20" t="n">
        <v>9</v>
      </c>
      <c r="C24" s="10" t="inlineStr">
        <is>
          <t>unidad (full unit)</t>
        </is>
      </c>
      <c r="D24" s="21" t="n">
        <v>120</v>
      </c>
      <c r="E24" s="16">
        <f>B24*D24</f>
        <v/>
      </c>
      <c r="F24" s="11" t="inlineStr">
        <is>
          <t>Estimación: $100–$140 por unidad; 6–12 unidades según tamaño de piedra y junta. Calcula con la calculadora de Laticrete/Mapei.</t>
        </is>
      </c>
    </row>
    <row r="25" ht="30" customHeight="1">
      <c r="A25" s="19" t="inlineStr">
        <is>
          <t>Pre-sellador / grout release (piedra porosa)</t>
        </is>
      </c>
      <c r="B25" s="20" t="n">
        <v>1</v>
      </c>
      <c r="C25" s="10" t="inlineStr">
        <is>
          <t>galón</t>
        </is>
      </c>
      <c r="D25" s="21" t="n">
        <v>70</v>
      </c>
      <c r="E25" s="16">
        <f>B25*D25</f>
        <v/>
      </c>
      <c r="F25" s="11" t="inlineStr">
        <is>
          <t>Estimación: $40–$100. Evita que la epóxica manche la piedra.</t>
        </is>
      </c>
    </row>
    <row r="26" ht="30" customHeight="1">
      <c r="A26" s="19" t="inlineStr">
        <is>
          <t>Limpiador de residuo epóxico, esponjas, llana</t>
        </is>
      </c>
      <c r="B26" s="20" t="n">
        <v>1</v>
      </c>
      <c r="C26" s="10" t="inlineStr">
        <is>
          <t>kit</t>
        </is>
      </c>
      <c r="D26" s="21" t="n">
        <v>90</v>
      </c>
      <c r="E26" s="16">
        <f>B26*D26</f>
        <v/>
      </c>
      <c r="F26" s="11" t="inlineStr">
        <is>
          <t>Estimación.</t>
        </is>
      </c>
    </row>
    <row r="27" ht="30" customHeight="1">
      <c r="A27" s="19" t="inlineStr">
        <is>
          <t>Sellador J26WB</t>
        </is>
      </c>
      <c r="B27" s="20" t="n">
        <v>1</v>
      </c>
      <c r="C27" s="10" t="inlineStr">
        <is>
          <t>cubeta</t>
        </is>
      </c>
      <c r="D27" s="21" t="n">
        <v>400</v>
      </c>
      <c r="E27" s="16">
        <f>B27*D27</f>
        <v/>
      </c>
      <c r="F27" s="11" t="inlineStr">
        <is>
          <t>Precio dado por el usuario: $400 por cubeta. Verifica en la ficha técnica cuántos ft² cubre una cubeta en 2 manos; si no alcanza para 530 ft², sube la cantidad.</t>
        </is>
      </c>
    </row>
    <row r="28" ht="30" customHeight="1">
      <c r="A28" s="19" t="inlineStr">
        <is>
          <t>Sellador flexible de poliuretano (juntas de expansión)</t>
        </is>
      </c>
      <c r="B28" s="20" t="n">
        <v>9</v>
      </c>
      <c r="C28" s="10" t="inlineStr">
        <is>
          <t>cartucho 10 oz</t>
        </is>
      </c>
      <c r="D28" s="21" t="n">
        <v>12</v>
      </c>
      <c r="E28" s="16">
        <f>B28*D28</f>
        <v/>
      </c>
      <c r="F28" s="11" t="inlineStr">
        <is>
          <t>Estimación: $8–$15 por cartucho. Para bordes, muros y juntas cada 8–12 ft.</t>
        </is>
      </c>
    </row>
    <row r="29" ht="30" customHeight="1">
      <c r="A29" s="19" t="inlineStr">
        <is>
          <t>Cordón de respaldo (backer rod)</t>
        </is>
      </c>
      <c r="B29" s="20" t="n">
        <v>1</v>
      </c>
      <c r="C29" s="10" t="inlineStr">
        <is>
          <t>rollo</t>
        </is>
      </c>
      <c r="D29" s="21" t="n">
        <v>18</v>
      </c>
      <c r="E29" s="16">
        <f>B29*D29</f>
        <v/>
      </c>
      <c r="F29" s="11" t="inlineStr">
        <is>
          <t>Estimación: $10–$25.</t>
        </is>
      </c>
    </row>
    <row r="30" ht="30" customHeight="1">
      <c r="A30" s="19" t="inlineStr">
        <is>
          <t>Limpiador pH neutro para piedra + cepillos y fibras (lavado a mano)</t>
        </is>
      </c>
      <c r="B30" s="20" t="n">
        <v>1</v>
      </c>
      <c r="C30" s="10" t="inlineStr">
        <is>
          <t>kit</t>
        </is>
      </c>
      <c r="D30" s="21" t="n">
        <v>150</v>
      </c>
      <c r="E30" s="16">
        <f>B30*D30</f>
        <v/>
      </c>
      <c r="F30" s="11" t="inlineStr">
        <is>
          <t>Estimación. Lavado 100 % a mano.</t>
        </is>
      </c>
    </row>
    <row r="31" ht="30" customHeight="1">
      <c r="A31" s="19" t="inlineStr">
        <is>
          <t>Discos/herramienta para quitar junta, cinta, plástico de protección</t>
        </is>
      </c>
      <c r="B31" s="20" t="n">
        <v>1</v>
      </c>
      <c r="C31" s="10" t="inlineStr">
        <is>
          <t>kit</t>
        </is>
      </c>
      <c r="D31" s="21" t="n">
        <v>200</v>
      </c>
      <c r="E31" s="16">
        <f>B31*D31</f>
        <v/>
      </c>
      <c r="F31" s="11" t="inlineStr">
        <is>
          <t>Estimación.</t>
        </is>
      </c>
    </row>
    <row r="32">
      <c r="A32" s="8" t="inlineStr">
        <is>
          <t>Subtotal materiales</t>
        </is>
      </c>
      <c r="E32" s="18">
        <f>SUM(E24:E31)</f>
        <v/>
      </c>
    </row>
    <row r="34">
      <c r="A34" s="5" t="inlineStr">
        <is>
          <t>OTROS COSTOS</t>
        </is>
      </c>
      <c r="B34" s="6" t="n"/>
      <c r="C34" s="6" t="n"/>
      <c r="D34" s="6" t="n"/>
      <c r="E34" s="6" t="n"/>
      <c r="F34" s="6" t="n"/>
    </row>
    <row r="35" ht="30" customHeight="1">
      <c r="A35" s="7" t="inlineStr">
        <is>
          <t>Concepto</t>
        </is>
      </c>
      <c r="B35" s="7" t="inlineStr">
        <is>
          <t>Cantidad</t>
        </is>
      </c>
      <c r="C35" s="7" t="inlineStr">
        <is>
          <t>Unidad</t>
        </is>
      </c>
      <c r="D35" s="7" t="inlineStr">
        <is>
          <t>Precio unitario</t>
        </is>
      </c>
      <c r="E35" s="7" t="inlineStr">
        <is>
          <t>Total</t>
        </is>
      </c>
      <c r="F35" s="7" t="inlineStr">
        <is>
          <t>Nota</t>
        </is>
      </c>
    </row>
    <row r="36">
      <c r="A36" s="14" t="inlineStr">
        <is>
          <t>Gasolina, traslado y comidas</t>
        </is>
      </c>
      <c r="B36" s="20" t="n">
        <v>1</v>
      </c>
      <c r="C36" s="10" t="inlineStr">
        <is>
          <t>viaje</t>
        </is>
      </c>
      <c r="D36" s="21" t="n">
        <v>400</v>
      </c>
      <c r="E36" s="16">
        <f>B36*D36</f>
        <v/>
      </c>
      <c r="F36" s="11" t="inlineStr">
        <is>
          <t>Estimación para 2 días.</t>
        </is>
      </c>
    </row>
    <row r="37">
      <c r="A37" s="14" t="inlineStr">
        <is>
          <t>Hospedaje</t>
        </is>
      </c>
      <c r="B37" s="20" t="n">
        <v>2</v>
      </c>
      <c r="C37" s="10" t="inlineStr">
        <is>
          <t>noches</t>
        </is>
      </c>
      <c r="D37" s="21" t="n">
        <v>200</v>
      </c>
      <c r="E37" s="16">
        <f>B37*D37</f>
        <v/>
      </c>
      <c r="F37" s="11" t="inlineStr">
        <is>
          <t>Estimación. Si vives cerca de Big Sky, pon 0 noches.</t>
        </is>
      </c>
    </row>
    <row r="38">
      <c r="A38" s="14" t="inlineStr">
        <is>
          <t>Seguro / registro de contratista en el club</t>
        </is>
      </c>
      <c r="B38" s="20" t="n">
        <v>1</v>
      </c>
      <c r="C38" s="10" t="inlineStr">
        <is>
          <t>pago</t>
        </is>
      </c>
      <c r="D38" s="21" t="n">
        <v>400</v>
      </c>
      <c r="E38" s="16">
        <f>B38*D38</f>
        <v/>
      </c>
      <c r="F38" s="11" t="inlineStr">
        <is>
          <t>Estimación. El club suele pedir certificado de seguro (COI).</t>
        </is>
      </c>
    </row>
    <row r="39">
      <c r="A39" s="14" t="inlineStr">
        <is>
          <t>Disposición de residuos</t>
        </is>
      </c>
      <c r="B39" s="20" t="n">
        <v>1</v>
      </c>
      <c r="C39" s="10" t="inlineStr">
        <is>
          <t>pago</t>
        </is>
      </c>
      <c r="D39" s="21" t="n">
        <v>100</v>
      </c>
      <c r="E39" s="16">
        <f>B39*D39</f>
        <v/>
      </c>
      <c r="F39" s="11" t="inlineStr">
        <is>
          <t>Estimación.</t>
        </is>
      </c>
    </row>
    <row r="40">
      <c r="A40" s="8" t="inlineStr">
        <is>
          <t>Subtotal otros costos</t>
        </is>
      </c>
      <c r="E40" s="18">
        <f>SUM(E36:E39)</f>
        <v/>
      </c>
    </row>
    <row r="42">
      <c r="A42" s="5" t="inlineStr">
        <is>
          <t>RESUMEN: COSTO, PRECIO Y GANANCIA</t>
        </is>
      </c>
      <c r="B42" s="6" t="n"/>
      <c r="C42" s="6" t="n"/>
      <c r="D42" s="6" t="n"/>
      <c r="E42" s="6" t="n"/>
      <c r="F42" s="6" t="n"/>
    </row>
    <row r="43">
      <c r="A43" s="14" t="inlineStr">
        <is>
          <t>Costo directo (mano de obra + materiales + otros)</t>
        </is>
      </c>
      <c r="E43" s="16">
        <f>E20+E32+E40</f>
        <v/>
      </c>
    </row>
    <row r="44">
      <c r="A44" s="14" t="inlineStr">
        <is>
          <t>Contingencia</t>
        </is>
      </c>
      <c r="E44" s="16">
        <f>E43*$B$12</f>
        <v/>
      </c>
    </row>
    <row r="45">
      <c r="A45" s="22" t="inlineStr">
        <is>
          <t>COSTO TOTAL (lo que te cuesta a ti)</t>
        </is>
      </c>
      <c r="E45" s="23">
        <f>E43+E44</f>
        <v/>
      </c>
    </row>
    <row r="46">
      <c r="A46" s="22" t="inlineStr">
        <is>
          <t>PRECIO DE VENTA (lo que cobras)</t>
        </is>
      </c>
      <c r="E46" s="23">
        <f>E45/(1-$B$13)</f>
        <v/>
      </c>
      <c r="F46" s="11" t="inlineStr">
        <is>
          <t>Precio = Costo total ÷ (1 − margen). Así el margen sale exacto.</t>
        </is>
      </c>
    </row>
    <row r="47">
      <c r="A47" s="22" t="inlineStr">
        <is>
          <t>GANANCIA</t>
        </is>
      </c>
      <c r="E47" s="23">
        <f>E46-E45</f>
        <v/>
      </c>
    </row>
    <row r="48">
      <c r="A48" s="14" t="inlineStr">
        <is>
          <t>Margen real</t>
        </is>
      </c>
      <c r="E48" s="24">
        <f>IF(E46=0,0,E47/E46)</f>
        <v/>
      </c>
      <c r="F48" s="11" t="inlineStr">
        <is>
          <t>Comprobación: debe ser igual al margen deseado.</t>
        </is>
      </c>
    </row>
    <row r="49">
      <c r="A49" s="14" t="inlineStr">
        <is>
          <t>Precio por ft²</t>
        </is>
      </c>
      <c r="E49" s="16">
        <f>E46/$B$7</f>
        <v/>
      </c>
    </row>
    <row r="50">
      <c r="A50" s="14" t="inlineStr">
        <is>
          <t>Ganancia por persona por día</t>
        </is>
      </c>
      <c r="E50" s="16">
        <f>IF(B20*$B$8=0,0,E47/(B20*$B$8))</f>
        <v/>
      </c>
      <c r="F50" s="11" t="inlineStr">
        <is>
          <t>Ganancia ÷ (días × personas).</t>
        </is>
      </c>
    </row>
    <row r="51">
      <c r="A51" s="14" t="inlineStr">
        <is>
          <t>Tu pago como trabajador</t>
        </is>
      </c>
      <c r="E51" s="16">
        <f>$B$9*$B$10*$B$11*B20</f>
        <v/>
      </c>
      <c r="F51" s="11" t="inlineStr">
        <is>
          <t>Lo que te toca de la mano de obra: tus horas × tu pago por hora × días. Ya está incluido en el costo y en el precio al cliente.</t>
        </is>
      </c>
    </row>
    <row r="52">
      <c r="A52" s="22" t="inlineStr">
        <is>
          <t>LO QUE TE LLEVAS TÚ (ganancia + tu pago)</t>
        </is>
      </c>
      <c r="E52" s="23">
        <f>E47+E51</f>
        <v/>
      </c>
      <c r="F52" s="11" t="inlineStr">
        <is>
          <t>Esto es lo que realmente te queda a ti.</t>
        </is>
      </c>
    </row>
    <row r="53">
      <c r="A53" s="14" t="inlineStr">
        <is>
          <t>Lo que te llevas si no se usa la contingencia</t>
        </is>
      </c>
      <c r="E53" s="16">
        <f>E52+E44</f>
        <v/>
      </c>
      <c r="F53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high-performance epoxy grout (Laticrete SpectraLOCK Pro or equivalent), with stone pre-sealed to prevent staining.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(epoxy grout (Laticrete SpectraLOCK Pro or equivalent), J26WB sealer, sealant, supplies)</t>
        </is>
      </c>
      <c r="B21" s="28">
        <f>'Costos'!E32*(1+'Costos'!$B$12)/(1-'Costos'!$B$13)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'Costos'!E40*(1+'Costos'!$B$12)/(1-'Costos'!$B$13)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2026-10-08T02:20:52Z</dcterms:created>
  <dcterms:modified xsi:type="dcterms:W3CDTF">2026-10-08T02:20:52Z</dcterms:modified>
</cp:coreProperties>
</file>