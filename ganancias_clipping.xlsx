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Supuestos" sheetId="2" state="visible" r:id="rId4"/>
    <sheet name="Proyección 12 mes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Vistas en campañas × pago por 1,000 vistas, con el tope mensual.</t>
        </r>
      </text>
    </comment>
    <comment ref="F4" authorId="0">
      <text>
        <r>
          <rPr>
            <sz val="10"/>
            <rFont val="Arial"/>
            <family val="2"/>
          </rPr>
          <t xml:space="preserve">Solo cuenta desde el mes en que empiezas a monetizar (ver Supuestos).</t>
        </r>
      </text>
    </comment>
    <comment ref="O4" authorId="0">
      <text>
        <r>
          <rPr>
            <sz val="10"/>
            <rFont val="Arial"/>
            <family val="2"/>
          </rPr>
          <t xml:space="preserve">Lo que te queda después de comisiones, impuestos y gastos.</t>
        </r>
      </text>
    </comment>
  </commentList>
</comments>
</file>

<file path=xl/sharedStrings.xml><?xml version="1.0" encoding="utf-8"?>
<sst xmlns="http://schemas.openxmlformats.org/spreadsheetml/2006/main" count="65" uniqueCount="65">
  <si>
    <t xml:space="preserve">Resumen de ganancias de clipping</t>
  </si>
  <si>
    <t xml:space="preserve">Estimaciones, no garantías: los resultados reales dependen de tus vistas, campañas y clientes.</t>
  </si>
  <si>
    <t xml:space="preserve">Ganancia neta del año (MXN)</t>
  </si>
  <si>
    <t xml:space="preserve">Ganancia neta promedio al mes (MXN)</t>
  </si>
  <si>
    <t xml:space="preserve">Ganancia neta del mes 1 (MXN)</t>
  </si>
  <si>
    <t xml:space="preserve">Ganancia neta del mes 12 (MXN)</t>
  </si>
  <si>
    <t xml:space="preserve">Clips subidos en el año</t>
  </si>
  <si>
    <t xml:space="preserve">Vistas totales en el año</t>
  </si>
  <si>
    <t xml:space="preserve">Parte de la ganancia bruta que viene de clientes fijos</t>
  </si>
  <si>
    <t xml:space="preserve">Cómo usar esta hoja</t>
  </si>
  <si>
    <t xml:space="preserve">1. Ve a la pestaña 'Supuestos' y cambia los valores azules con fondo amarillo.</t>
  </si>
  <si>
    <t xml:space="preserve">2. En 'Proyección 12 meses', ajusta cuántos clientes fijos tienes cada mes.</t>
  </si>
  <si>
    <t xml:space="preserve">3. Cada mes, reemplaza las estimaciones por tus vistas y pagos reales para mejorar la proyección.</t>
  </si>
  <si>
    <t xml:space="preserve">Colores: azul = datos que tú cambias · negro = fórmulas · verde = datos traídos de otra pestaña.</t>
  </si>
  <si>
    <t xml:space="preserve">Ganancias de clipping — supuestos</t>
  </si>
  <si>
    <t xml:space="preserve">Cambia solo las celdas con texto AZUL y fondo AMARILLO. Todo lo demás se calcula solo.</t>
  </si>
  <si>
    <t xml:space="preserve">PRODUCCIÓN</t>
  </si>
  <si>
    <t xml:space="preserve">Clips subidos por día</t>
  </si>
  <si>
    <t xml:space="preserve">Recomendación para empezar: 3 a 5 clips diarios.</t>
  </si>
  <si>
    <t xml:space="preserve">Días que subes por semana</t>
  </si>
  <si>
    <t xml:space="preserve">Vistas promedio por clip en el mes 1</t>
  </si>
  <si>
    <t xml:space="preserve">Estimación para una cuenta nueva. Revísalo con tus números reales cada mes.</t>
  </si>
  <si>
    <t xml:space="preserve">Crecimiento mensual de vistas por clip</t>
  </si>
  <si>
    <t xml:space="preserve">Cuánto mejoran tus vistas promedio cada mes al aprender qué funciona. Estimación.</t>
  </si>
  <si>
    <t xml:space="preserve">CAMPAÑAS DE CLIPPING</t>
  </si>
  <si>
    <t xml:space="preserve">% de clips que suben a campañas pagadas</t>
  </si>
  <si>
    <t xml:space="preserve">El resto de clips se suben a tu propio canal (Shorts).</t>
  </si>
  <si>
    <t xml:space="preserve">Pago por cada 1,000 vistas (USD)</t>
  </si>
  <si>
    <t xml:space="preserve">Rango común en campañas: 0.50 a 3 USD por 1,000 vistas. Varía por campaña.</t>
  </si>
  <si>
    <t xml:space="preserve">Tope mensual de pago por campañas (USD)</t>
  </si>
  <si>
    <t xml:space="preserve">Las campañas tienen presupuesto limitado; esto evita proyecciones irreales.</t>
  </si>
  <si>
    <t xml:space="preserve">YOUTUBE SHORTS</t>
  </si>
  <si>
    <t xml:space="preserve">Pago de Shorts por cada 1,000 vistas (USD)</t>
  </si>
  <si>
    <t xml:space="preserve">Estimación para público de México/español: aprox. 0.01 a 0.05 USD por 1,000 vistas.</t>
  </si>
  <si>
    <t xml:space="preserve">Mes en que empiezas a monetizar Shorts</t>
  </si>
  <si>
    <t xml:space="preserve">YouTube pide 1,000 suscriptores y 10 millones de vistas de Shorts en 90 días.</t>
  </si>
  <si>
    <t xml:space="preserve">CLIENTES FIJOS (editor de clips)</t>
  </si>
  <si>
    <t xml:space="preserve">Cuota mensual por cliente (MXN)</t>
  </si>
  <si>
    <t xml:space="preserve">Rango común con creadores mexicanos: 3,000 a 15,000 MXN al mes.</t>
  </si>
  <si>
    <t xml:space="preserve">DINERO Y GASTOS</t>
  </si>
  <si>
    <t xml:space="preserve">Tipo de cambio (MXN por USD)</t>
  </si>
  <si>
    <t xml:space="preserve">Aproximado. Actualízalo con el tipo de cambio del día.</t>
  </si>
  <si>
    <t xml:space="preserve">Comisión por recibir dólares (PayPal/Wise)</t>
  </si>
  <si>
    <t xml:space="preserve">Estimación de comisión + conversión. Revisa la de tu servicio.</t>
  </si>
  <si>
    <t xml:space="preserve">Impuesto (ISR RESICO aprox.)</t>
  </si>
  <si>
    <t xml:space="preserve">RESICO para personas físicas: aprox. 1% a 2.5% según ingresos. Confírmalo con un contador.</t>
  </si>
  <si>
    <t xml:space="preserve">Gastos mensuales (internet, apps, etc., MXN)</t>
  </si>
  <si>
    <t xml:space="preserve">Proyección de ganancias de clipping — 12 meses</t>
  </si>
  <si>
    <t xml:space="preserve">La columna 'Clientes fijos' (azul/amarillo) también la puedes cambiar: es cuántos creadores te pagan cuota ese mes.</t>
  </si>
  <si>
    <t xml:space="preserve">Mes</t>
  </si>
  <si>
    <t xml:space="preserve">Clips subidos</t>
  </si>
  <si>
    <t xml:space="preserve">Vistas promedio por clip</t>
  </si>
  <si>
    <t xml:space="preserve">Vistas totales</t>
  </si>
  <si>
    <t xml:space="preserve">Ingreso campañas (USD)</t>
  </si>
  <si>
    <t xml:space="preserve">Ingreso Shorts (USD)</t>
  </si>
  <si>
    <t xml:space="preserve">Ingreso en dólares (USD)</t>
  </si>
  <si>
    <t xml:space="preserve">Ingreso en dólares (MXN)</t>
  </si>
  <si>
    <t xml:space="preserve">Clientes fijos</t>
  </si>
  <si>
    <t xml:space="preserve">Ingreso clientes (MXN)</t>
  </si>
  <si>
    <t xml:space="preserve">Ingreso bruto (MXN)</t>
  </si>
  <si>
    <t xml:space="preserve">Comisiones (MXN)</t>
  </si>
  <si>
    <t xml:space="preserve">Impuestos (MXN)</t>
  </si>
  <si>
    <t xml:space="preserve">Gastos (MXN)</t>
  </si>
  <si>
    <t xml:space="preserve">Ganancia neta (MXN)</t>
  </si>
  <si>
    <t xml:space="preserve">Total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</si>
</sst>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#,##0;\(#,##0\);\-"/>
    <numFmt numFmtId="167" formatCode="0.0%;\(0.0%\);\-"/>
    <numFmt numFmtId="168" formatCode="&quot;US$&quot;#,##0.00;&quot;(US$&quot;#,##0.00\);\-"/>
    <numFmt numFmtId="169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C00000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f aca="false">'Proyección 12 meses'!O17</f>
        <v>227136.767819061</v>
      </c>
    </row>
    <row r="5" customFormat="false" ht="15" hidden="false" customHeight="false" outlineLevel="0" collapsed="false">
      <c r="A5" s="3" t="s">
        <v>3</v>
      </c>
      <c r="B5" s="4" t="n">
        <f aca="false">'Proyección 12 meses'!O17/12</f>
        <v>18928.0639849217</v>
      </c>
    </row>
    <row r="6" customFormat="false" ht="15" hidden="false" customHeight="false" outlineLevel="0" collapsed="false">
      <c r="A6" s="3" t="s">
        <v>4</v>
      </c>
      <c r="B6" s="4" t="n">
        <f aca="false">'Proyección 12 meses'!O5</f>
        <v>3421.372</v>
      </c>
    </row>
    <row r="7" customFormat="false" ht="15" hidden="false" customHeight="false" outlineLevel="0" collapsed="false">
      <c r="A7" s="3" t="s">
        <v>5</v>
      </c>
      <c r="B7" s="4" t="n">
        <f aca="false">'Proyección 12 meses'!O16</f>
        <v>35708.3199481125</v>
      </c>
    </row>
    <row r="8" customFormat="false" ht="15" hidden="false" customHeight="false" outlineLevel="0" collapsed="false">
      <c r="A8" s="3" t="s">
        <v>6</v>
      </c>
      <c r="B8" s="5" t="n">
        <f aca="false">'Proyección 12 meses'!B17</f>
        <v>1248</v>
      </c>
    </row>
    <row r="9" customFormat="false" ht="15" hidden="false" customHeight="false" outlineLevel="0" collapsed="false">
      <c r="A9" s="3" t="s">
        <v>7</v>
      </c>
      <c r="B9" s="5" t="n">
        <f aca="false">'Proyección 12 meses'!D17</f>
        <v>9048520.21938532</v>
      </c>
    </row>
    <row r="10" customFormat="false" ht="15" hidden="false" customHeight="false" outlineLevel="0" collapsed="false">
      <c r="A10" s="3" t="s">
        <v>8</v>
      </c>
      <c r="B10" s="6" t="n">
        <f aca="false">IFERROR('Proyección 12 meses'!J17/'Proyección 12 meses'!K17,0)</f>
        <v>0.496634865611572</v>
      </c>
    </row>
    <row r="12" customFormat="false" ht="15" hidden="false" customHeight="false" outlineLevel="0" collapsed="false">
      <c r="A12" s="7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14</v>
      </c>
    </row>
    <row r="2" customFormat="false" ht="15" hidden="false" customHeight="false" outlineLevel="0" collapsed="false">
      <c r="A2" s="8" t="s">
        <v>15</v>
      </c>
    </row>
    <row r="4" customFormat="false" ht="15" hidden="false" customHeight="false" outlineLevel="0" collapsed="false">
      <c r="A4" s="9" t="s">
        <v>16</v>
      </c>
      <c r="B4" s="10"/>
    </row>
    <row r="5" customFormat="false" ht="15" hidden="false" customHeight="false" outlineLevel="0" collapsed="false">
      <c r="A5" s="3" t="s">
        <v>17</v>
      </c>
      <c r="B5" s="11" t="n">
        <v>4</v>
      </c>
      <c r="C5" s="12" t="s">
        <v>18</v>
      </c>
    </row>
    <row r="6" customFormat="false" ht="15" hidden="false" customHeight="false" outlineLevel="0" collapsed="false">
      <c r="A6" s="3" t="s">
        <v>19</v>
      </c>
      <c r="B6" s="11" t="n">
        <v>6</v>
      </c>
    </row>
    <row r="7" customFormat="false" ht="15" hidden="false" customHeight="false" outlineLevel="0" collapsed="false">
      <c r="A7" s="3" t="s">
        <v>20</v>
      </c>
      <c r="B7" s="11" t="n">
        <v>3000</v>
      </c>
      <c r="C7" s="12" t="s">
        <v>21</v>
      </c>
    </row>
    <row r="8" customFormat="false" ht="15" hidden="false" customHeight="false" outlineLevel="0" collapsed="false">
      <c r="A8" s="3" t="s">
        <v>22</v>
      </c>
      <c r="B8" s="13" t="n">
        <v>0.15</v>
      </c>
      <c r="C8" s="12" t="s">
        <v>23</v>
      </c>
    </row>
    <row r="9" customFormat="false" ht="15" hidden="false" customHeight="false" outlineLevel="0" collapsed="false">
      <c r="A9" s="9" t="s">
        <v>24</v>
      </c>
      <c r="B9" s="10"/>
    </row>
    <row r="10" customFormat="false" ht="15" hidden="false" customHeight="false" outlineLevel="0" collapsed="false">
      <c r="A10" s="3" t="s">
        <v>25</v>
      </c>
      <c r="B10" s="13" t="n">
        <v>0.7</v>
      </c>
      <c r="C10" s="12" t="s">
        <v>26</v>
      </c>
    </row>
    <row r="11" customFormat="false" ht="15" hidden="false" customHeight="false" outlineLevel="0" collapsed="false">
      <c r="A11" s="3" t="s">
        <v>27</v>
      </c>
      <c r="B11" s="14" t="n">
        <v>1</v>
      </c>
      <c r="C11" s="12" t="s">
        <v>28</v>
      </c>
    </row>
    <row r="12" customFormat="false" ht="15" hidden="false" customHeight="false" outlineLevel="0" collapsed="false">
      <c r="A12" s="3" t="s">
        <v>29</v>
      </c>
      <c r="B12" s="14" t="n">
        <v>1500</v>
      </c>
      <c r="C12" s="12" t="s">
        <v>30</v>
      </c>
    </row>
    <row r="13" customFormat="false" ht="15" hidden="false" customHeight="false" outlineLevel="0" collapsed="false">
      <c r="A13" s="9" t="s">
        <v>31</v>
      </c>
      <c r="B13" s="10"/>
    </row>
    <row r="14" customFormat="false" ht="15" hidden="false" customHeight="false" outlineLevel="0" collapsed="false">
      <c r="A14" s="3" t="s">
        <v>32</v>
      </c>
      <c r="B14" s="14" t="n">
        <v>0.03</v>
      </c>
      <c r="C14" s="12" t="s">
        <v>33</v>
      </c>
    </row>
    <row r="15" customFormat="false" ht="15" hidden="false" customHeight="false" outlineLevel="0" collapsed="false">
      <c r="A15" s="3" t="s">
        <v>34</v>
      </c>
      <c r="B15" s="11" t="n">
        <v>5</v>
      </c>
      <c r="C15" s="12" t="s">
        <v>35</v>
      </c>
    </row>
    <row r="16" customFormat="false" ht="15" hidden="false" customHeight="false" outlineLevel="0" collapsed="false">
      <c r="A16" s="9" t="s">
        <v>36</v>
      </c>
      <c r="B16" s="10"/>
    </row>
    <row r="17" customFormat="false" ht="15" hidden="false" customHeight="false" outlineLevel="0" collapsed="false">
      <c r="A17" s="3" t="s">
        <v>37</v>
      </c>
      <c r="B17" s="15" t="n">
        <v>6000</v>
      </c>
      <c r="C17" s="12" t="s">
        <v>38</v>
      </c>
    </row>
    <row r="18" customFormat="false" ht="15" hidden="false" customHeight="false" outlineLevel="0" collapsed="false">
      <c r="A18" s="9" t="s">
        <v>39</v>
      </c>
      <c r="B18" s="10"/>
    </row>
    <row r="19" customFormat="false" ht="15" hidden="false" customHeight="false" outlineLevel="0" collapsed="false">
      <c r="A19" s="3" t="s">
        <v>40</v>
      </c>
      <c r="B19" s="16" t="n">
        <v>19</v>
      </c>
      <c r="C19" s="12" t="s">
        <v>41</v>
      </c>
    </row>
    <row r="20" customFormat="false" ht="15" hidden="false" customHeight="false" outlineLevel="0" collapsed="false">
      <c r="A20" s="3" t="s">
        <v>42</v>
      </c>
      <c r="B20" s="13" t="n">
        <v>0.04</v>
      </c>
      <c r="C20" s="12" t="s">
        <v>43</v>
      </c>
    </row>
    <row r="21" customFormat="false" ht="15" hidden="false" customHeight="false" outlineLevel="0" collapsed="false">
      <c r="A21" s="3" t="s">
        <v>44</v>
      </c>
      <c r="B21" s="13" t="n">
        <v>0.015</v>
      </c>
      <c r="C21" s="12" t="s">
        <v>45</v>
      </c>
    </row>
    <row r="22" customFormat="false" ht="15" hidden="false" customHeight="false" outlineLevel="0" collapsed="false">
      <c r="A22" s="3" t="s">
        <v>46</v>
      </c>
      <c r="B22" s="15" t="n">
        <v>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5"/>
    <col collapsed="false" customWidth="true" hidden="false" outlineLevel="0" max="6" min="6" style="0" width="14"/>
    <col collapsed="false" customWidth="true" hidden="false" outlineLevel="0" max="8" min="7" style="0" width="15"/>
    <col collapsed="false" customWidth="true" hidden="false" outlineLevel="0" max="9" min="9" style="0" width="10"/>
    <col collapsed="false" customWidth="true" hidden="false" outlineLevel="0" max="11" min="10" style="0" width="15"/>
    <col collapsed="false" customWidth="true" hidden="false" outlineLevel="0" max="13" min="12" style="0" width="13"/>
    <col collapsed="false" customWidth="true" hidden="false" outlineLevel="0" max="14" min="14" style="0" width="12"/>
    <col collapsed="false" customWidth="true" hidden="false" outlineLevel="0" max="15" min="15" style="0" width="16"/>
  </cols>
  <sheetData>
    <row r="1" customFormat="false" ht="17.35" hidden="false" customHeight="false" outlineLevel="0" collapsed="false">
      <c r="A1" s="1" t="s">
        <v>47</v>
      </c>
    </row>
    <row r="2" customFormat="false" ht="15" hidden="false" customHeight="false" outlineLevel="0" collapsed="false">
      <c r="A2" s="8" t="s">
        <v>48</v>
      </c>
    </row>
    <row r="4" customFormat="false" ht="45" hidden="false" customHeight="true" outlineLevel="0" collapsed="false">
      <c r="A4" s="17" t="s">
        <v>49</v>
      </c>
      <c r="B4" s="17" t="s">
        <v>50</v>
      </c>
      <c r="C4" s="17" t="s">
        <v>51</v>
      </c>
      <c r="D4" s="17" t="s">
        <v>52</v>
      </c>
      <c r="E4" s="17" t="s">
        <v>53</v>
      </c>
      <c r="F4" s="17" t="s">
        <v>54</v>
      </c>
      <c r="G4" s="17" t="s">
        <v>55</v>
      </c>
      <c r="H4" s="17" t="s">
        <v>56</v>
      </c>
      <c r="I4" s="17" t="s">
        <v>57</v>
      </c>
      <c r="J4" s="17" t="s">
        <v>58</v>
      </c>
      <c r="K4" s="17" t="s">
        <v>59</v>
      </c>
      <c r="L4" s="17" t="s">
        <v>60</v>
      </c>
      <c r="M4" s="17" t="s">
        <v>61</v>
      </c>
      <c r="N4" s="17" t="s">
        <v>62</v>
      </c>
      <c r="O4" s="17" t="s">
        <v>63</v>
      </c>
    </row>
    <row r="5" customFormat="false" ht="15" hidden="false" customHeight="false" outlineLevel="0" collapsed="false">
      <c r="A5" s="18" t="n">
        <v>1</v>
      </c>
      <c r="B5" s="18" t="n">
        <f aca="false">ROUND(Supuestos!$B$5*Supuestos!$B$6*52/12,0)</f>
        <v>104</v>
      </c>
      <c r="C5" s="18" t="n">
        <f aca="false">Supuestos!$B$7*(1+Supuestos!$B$8)^(A5-1)</f>
        <v>3000</v>
      </c>
      <c r="D5" s="18" t="n">
        <f aca="false">B5*C5</f>
        <v>312000</v>
      </c>
      <c r="E5" s="19" t="n">
        <f aca="false">MIN(D5*Supuestos!$B$10/1000*Supuestos!$B$11,Supuestos!$B$12)</f>
        <v>218.4</v>
      </c>
      <c r="F5" s="19" t="n">
        <f aca="false">IF(A5&gt;=Supuestos!$B$15,D5*(1-Supuestos!$B$10)/1000*Supuestos!$B$14,0)</f>
        <v>0</v>
      </c>
      <c r="G5" s="19" t="n">
        <f aca="false">E5+F5</f>
        <v>218.4</v>
      </c>
      <c r="H5" s="20" t="n">
        <f aca="false">G5*Supuestos!$B$19</f>
        <v>4149.6</v>
      </c>
      <c r="I5" s="11" t="n">
        <v>0</v>
      </c>
      <c r="J5" s="20" t="n">
        <f aca="false">I5*Supuestos!$B$17</f>
        <v>0</v>
      </c>
      <c r="K5" s="20" t="n">
        <f aca="false">H5+J5</f>
        <v>4149.6</v>
      </c>
      <c r="L5" s="20" t="n">
        <f aca="false">H5*Supuestos!$B$20</f>
        <v>165.984</v>
      </c>
      <c r="M5" s="20" t="n">
        <f aca="false">K5*Supuestos!$B$21</f>
        <v>62.244</v>
      </c>
      <c r="N5" s="4" t="n">
        <f aca="false">Supuestos!$B$22</f>
        <v>500</v>
      </c>
      <c r="O5" s="20" t="n">
        <f aca="false">K5-L5-M5-N5</f>
        <v>3421.372</v>
      </c>
    </row>
    <row r="6" customFormat="false" ht="15" hidden="false" customHeight="false" outlineLevel="0" collapsed="false">
      <c r="A6" s="18" t="n">
        <v>2</v>
      </c>
      <c r="B6" s="18" t="n">
        <f aca="false">ROUND(Supuestos!$B$5*Supuestos!$B$6*52/12,0)</f>
        <v>104</v>
      </c>
      <c r="C6" s="18" t="n">
        <f aca="false">Supuestos!$B$7*(1+Supuestos!$B$8)^(A6-1)</f>
        <v>3450</v>
      </c>
      <c r="D6" s="18" t="n">
        <f aca="false">B6*C6</f>
        <v>358800</v>
      </c>
      <c r="E6" s="19" t="n">
        <f aca="false">MIN(D6*Supuestos!$B$10/1000*Supuestos!$B$11,Supuestos!$B$12)</f>
        <v>251.16</v>
      </c>
      <c r="F6" s="19" t="n">
        <f aca="false">IF(A6&gt;=Supuestos!$B$15,D6*(1-Supuestos!$B$10)/1000*Supuestos!$B$14,0)</f>
        <v>0</v>
      </c>
      <c r="G6" s="19" t="n">
        <f aca="false">E6+F6</f>
        <v>251.16</v>
      </c>
      <c r="H6" s="20" t="n">
        <f aca="false">G6*Supuestos!$B$19</f>
        <v>4772.04</v>
      </c>
      <c r="I6" s="11" t="n">
        <v>0</v>
      </c>
      <c r="J6" s="20" t="n">
        <f aca="false">I6*Supuestos!$B$17</f>
        <v>0</v>
      </c>
      <c r="K6" s="20" t="n">
        <f aca="false">H6+J6</f>
        <v>4772.04</v>
      </c>
      <c r="L6" s="20" t="n">
        <f aca="false">H6*Supuestos!$B$20</f>
        <v>190.8816</v>
      </c>
      <c r="M6" s="20" t="n">
        <f aca="false">K6*Supuestos!$B$21</f>
        <v>71.5806</v>
      </c>
      <c r="N6" s="4" t="n">
        <f aca="false">Supuestos!$B$22</f>
        <v>500</v>
      </c>
      <c r="O6" s="20" t="n">
        <f aca="false">K6-L6-M6-N6</f>
        <v>4009.5778</v>
      </c>
    </row>
    <row r="7" customFormat="false" ht="15" hidden="false" customHeight="false" outlineLevel="0" collapsed="false">
      <c r="A7" s="18" t="n">
        <v>3</v>
      </c>
      <c r="B7" s="18" t="n">
        <f aca="false">ROUND(Supuestos!$B$5*Supuestos!$B$6*52/12,0)</f>
        <v>104</v>
      </c>
      <c r="C7" s="18" t="n">
        <f aca="false">Supuestos!$B$7*(1+Supuestos!$B$8)^(A7-1)</f>
        <v>3967.5</v>
      </c>
      <c r="D7" s="18" t="n">
        <f aca="false">B7*C7</f>
        <v>412620</v>
      </c>
      <c r="E7" s="19" t="n">
        <f aca="false">MIN(D7*Supuestos!$B$10/1000*Supuestos!$B$11,Supuestos!$B$12)</f>
        <v>288.834</v>
      </c>
      <c r="F7" s="19" t="n">
        <f aca="false">IF(A7&gt;=Supuestos!$B$15,D7*(1-Supuestos!$B$10)/1000*Supuestos!$B$14,0)</f>
        <v>0</v>
      </c>
      <c r="G7" s="19" t="n">
        <f aca="false">E7+F7</f>
        <v>288.834</v>
      </c>
      <c r="H7" s="20" t="n">
        <f aca="false">G7*Supuestos!$B$19</f>
        <v>5487.846</v>
      </c>
      <c r="I7" s="11" t="n">
        <v>1</v>
      </c>
      <c r="J7" s="20" t="n">
        <f aca="false">I7*Supuestos!$B$17</f>
        <v>6000</v>
      </c>
      <c r="K7" s="20" t="n">
        <f aca="false">H7+J7</f>
        <v>11487.846</v>
      </c>
      <c r="L7" s="20" t="n">
        <f aca="false">H7*Supuestos!$B$20</f>
        <v>219.51384</v>
      </c>
      <c r="M7" s="20" t="n">
        <f aca="false">K7*Supuestos!$B$21</f>
        <v>172.31769</v>
      </c>
      <c r="N7" s="4" t="n">
        <f aca="false">Supuestos!$B$22</f>
        <v>500</v>
      </c>
      <c r="O7" s="20" t="n">
        <f aca="false">K7-L7-M7-N7</f>
        <v>10596.01447</v>
      </c>
    </row>
    <row r="8" customFormat="false" ht="15" hidden="false" customHeight="false" outlineLevel="0" collapsed="false">
      <c r="A8" s="18" t="n">
        <v>4</v>
      </c>
      <c r="B8" s="18" t="n">
        <f aca="false">ROUND(Supuestos!$B$5*Supuestos!$B$6*52/12,0)</f>
        <v>104</v>
      </c>
      <c r="C8" s="18" t="n">
        <f aca="false">Supuestos!$B$7*(1+Supuestos!$B$8)^(A8-1)</f>
        <v>4562.625</v>
      </c>
      <c r="D8" s="18" t="n">
        <f aca="false">B8*C8</f>
        <v>474513</v>
      </c>
      <c r="E8" s="19" t="n">
        <f aca="false">MIN(D8*Supuestos!$B$10/1000*Supuestos!$B$11,Supuestos!$B$12)</f>
        <v>332.1591</v>
      </c>
      <c r="F8" s="19" t="n">
        <f aca="false">IF(A8&gt;=Supuestos!$B$15,D8*(1-Supuestos!$B$10)/1000*Supuestos!$B$14,0)</f>
        <v>0</v>
      </c>
      <c r="G8" s="19" t="n">
        <f aca="false">E8+F8</f>
        <v>332.1591</v>
      </c>
      <c r="H8" s="20" t="n">
        <f aca="false">G8*Supuestos!$B$19</f>
        <v>6311.0229</v>
      </c>
      <c r="I8" s="11" t="n">
        <v>1</v>
      </c>
      <c r="J8" s="20" t="n">
        <f aca="false">I8*Supuestos!$B$17</f>
        <v>6000</v>
      </c>
      <c r="K8" s="20" t="n">
        <f aca="false">H8+J8</f>
        <v>12311.0229</v>
      </c>
      <c r="L8" s="20" t="n">
        <f aca="false">H8*Supuestos!$B$20</f>
        <v>252.440916</v>
      </c>
      <c r="M8" s="20" t="n">
        <f aca="false">K8*Supuestos!$B$21</f>
        <v>184.6653435</v>
      </c>
      <c r="N8" s="4" t="n">
        <f aca="false">Supuestos!$B$22</f>
        <v>500</v>
      </c>
      <c r="O8" s="20" t="n">
        <f aca="false">K8-L8-M8-N8</f>
        <v>11373.9166405</v>
      </c>
    </row>
    <row r="9" customFormat="false" ht="15" hidden="false" customHeight="false" outlineLevel="0" collapsed="false">
      <c r="A9" s="18" t="n">
        <v>5</v>
      </c>
      <c r="B9" s="18" t="n">
        <f aca="false">ROUND(Supuestos!$B$5*Supuestos!$B$6*52/12,0)</f>
        <v>104</v>
      </c>
      <c r="C9" s="18" t="n">
        <f aca="false">Supuestos!$B$7*(1+Supuestos!$B$8)^(A9-1)</f>
        <v>5247.01875</v>
      </c>
      <c r="D9" s="18" t="n">
        <f aca="false">B9*C9</f>
        <v>545689.95</v>
      </c>
      <c r="E9" s="19" t="n">
        <f aca="false">MIN(D9*Supuestos!$B$10/1000*Supuestos!$B$11,Supuestos!$B$12)</f>
        <v>381.982965</v>
      </c>
      <c r="F9" s="19" t="n">
        <f aca="false">IF(A9&gt;=Supuestos!$B$15,D9*(1-Supuestos!$B$10)/1000*Supuestos!$B$14,0)</f>
        <v>4.91120955</v>
      </c>
      <c r="G9" s="19" t="n">
        <f aca="false">E9+F9</f>
        <v>386.89417455</v>
      </c>
      <c r="H9" s="20" t="n">
        <f aca="false">G9*Supuestos!$B$19</f>
        <v>7350.98931645</v>
      </c>
      <c r="I9" s="11" t="n">
        <v>1</v>
      </c>
      <c r="J9" s="20" t="n">
        <f aca="false">I9*Supuestos!$B$17</f>
        <v>6000</v>
      </c>
      <c r="K9" s="20" t="n">
        <f aca="false">H9+J9</f>
        <v>13350.98931645</v>
      </c>
      <c r="L9" s="20" t="n">
        <f aca="false">H9*Supuestos!$B$20</f>
        <v>294.039572658</v>
      </c>
      <c r="M9" s="20" t="n">
        <f aca="false">K9*Supuestos!$B$21</f>
        <v>200.26483974675</v>
      </c>
      <c r="N9" s="4" t="n">
        <f aca="false">Supuestos!$B$22</f>
        <v>500</v>
      </c>
      <c r="O9" s="20" t="n">
        <f aca="false">K9-L9-M9-N9</f>
        <v>12356.6849040453</v>
      </c>
    </row>
    <row r="10" customFormat="false" ht="15" hidden="false" customHeight="false" outlineLevel="0" collapsed="false">
      <c r="A10" s="18" t="n">
        <v>6</v>
      </c>
      <c r="B10" s="18" t="n">
        <f aca="false">ROUND(Supuestos!$B$5*Supuestos!$B$6*52/12,0)</f>
        <v>104</v>
      </c>
      <c r="C10" s="18" t="n">
        <f aca="false">Supuestos!$B$7*(1+Supuestos!$B$8)^(A10-1)</f>
        <v>6034.0715625</v>
      </c>
      <c r="D10" s="18" t="n">
        <f aca="false">B10*C10</f>
        <v>627543.4425</v>
      </c>
      <c r="E10" s="19" t="n">
        <f aca="false">MIN(D10*Supuestos!$B$10/1000*Supuestos!$B$11,Supuestos!$B$12)</f>
        <v>439.28040975</v>
      </c>
      <c r="F10" s="19" t="n">
        <f aca="false">IF(A10&gt;=Supuestos!$B$15,D10*(1-Supuestos!$B$10)/1000*Supuestos!$B$14,0)</f>
        <v>5.6478909825</v>
      </c>
      <c r="G10" s="19" t="n">
        <f aca="false">E10+F10</f>
        <v>444.9283007325</v>
      </c>
      <c r="H10" s="20" t="n">
        <f aca="false">G10*Supuestos!$B$19</f>
        <v>8453.6377139175</v>
      </c>
      <c r="I10" s="11" t="n">
        <v>2</v>
      </c>
      <c r="J10" s="20" t="n">
        <f aca="false">I10*Supuestos!$B$17</f>
        <v>12000</v>
      </c>
      <c r="K10" s="20" t="n">
        <f aca="false">H10+J10</f>
        <v>20453.6377139175</v>
      </c>
      <c r="L10" s="20" t="n">
        <f aca="false">H10*Supuestos!$B$20</f>
        <v>338.1455085567</v>
      </c>
      <c r="M10" s="20" t="n">
        <f aca="false">K10*Supuestos!$B$21</f>
        <v>306.804565708762</v>
      </c>
      <c r="N10" s="4" t="n">
        <f aca="false">Supuestos!$B$22</f>
        <v>500</v>
      </c>
      <c r="O10" s="20" t="n">
        <f aca="false">K10-L10-M10-N10</f>
        <v>19308.687639652</v>
      </c>
    </row>
    <row r="11" customFormat="false" ht="15" hidden="false" customHeight="false" outlineLevel="0" collapsed="false">
      <c r="A11" s="18" t="n">
        <v>7</v>
      </c>
      <c r="B11" s="18" t="n">
        <f aca="false">ROUND(Supuestos!$B$5*Supuestos!$B$6*52/12,0)</f>
        <v>104</v>
      </c>
      <c r="C11" s="18" t="n">
        <f aca="false">Supuestos!$B$7*(1+Supuestos!$B$8)^(A11-1)</f>
        <v>6939.182296875</v>
      </c>
      <c r="D11" s="18" t="n">
        <f aca="false">B11*C11</f>
        <v>721674.958875</v>
      </c>
      <c r="E11" s="19" t="n">
        <f aca="false">MIN(D11*Supuestos!$B$10/1000*Supuestos!$B$11,Supuestos!$B$12)</f>
        <v>505.1724712125</v>
      </c>
      <c r="F11" s="19" t="n">
        <f aca="false">IF(A11&gt;=Supuestos!$B$15,D11*(1-Supuestos!$B$10)/1000*Supuestos!$B$14,0)</f>
        <v>6.495074629875</v>
      </c>
      <c r="G11" s="19" t="n">
        <f aca="false">E11+F11</f>
        <v>511.667545842375</v>
      </c>
      <c r="H11" s="20" t="n">
        <f aca="false">G11*Supuestos!$B$19</f>
        <v>9721.68337100512</v>
      </c>
      <c r="I11" s="11" t="n">
        <v>2</v>
      </c>
      <c r="J11" s="20" t="n">
        <f aca="false">I11*Supuestos!$B$17</f>
        <v>12000</v>
      </c>
      <c r="K11" s="20" t="n">
        <f aca="false">H11+J11</f>
        <v>21721.6833710051</v>
      </c>
      <c r="L11" s="20" t="n">
        <f aca="false">H11*Supuestos!$B$20</f>
        <v>388.867334840205</v>
      </c>
      <c r="M11" s="20" t="n">
        <f aca="false">K11*Supuestos!$B$21</f>
        <v>325.825250565077</v>
      </c>
      <c r="N11" s="4" t="n">
        <f aca="false">Supuestos!$B$22</f>
        <v>500</v>
      </c>
      <c r="O11" s="20" t="n">
        <f aca="false">K11-L11-M11-N11</f>
        <v>20506.9907855998</v>
      </c>
    </row>
    <row r="12" customFormat="false" ht="15" hidden="false" customHeight="false" outlineLevel="0" collapsed="false">
      <c r="A12" s="18" t="n">
        <v>8</v>
      </c>
      <c r="B12" s="18" t="n">
        <f aca="false">ROUND(Supuestos!$B$5*Supuestos!$B$6*52/12,0)</f>
        <v>104</v>
      </c>
      <c r="C12" s="18" t="n">
        <f aca="false">Supuestos!$B$7*(1+Supuestos!$B$8)^(A12-1)</f>
        <v>7980.05964140625</v>
      </c>
      <c r="D12" s="18" t="n">
        <f aca="false">B12*C12</f>
        <v>829926.20270625</v>
      </c>
      <c r="E12" s="19" t="n">
        <f aca="false">MIN(D12*Supuestos!$B$10/1000*Supuestos!$B$11,Supuestos!$B$12)</f>
        <v>580.948341894375</v>
      </c>
      <c r="F12" s="19" t="n">
        <f aca="false">IF(A12&gt;=Supuestos!$B$15,D12*(1-Supuestos!$B$10)/1000*Supuestos!$B$14,0)</f>
        <v>7.46933582435625</v>
      </c>
      <c r="G12" s="19" t="n">
        <f aca="false">E12+F12</f>
        <v>588.417677718731</v>
      </c>
      <c r="H12" s="20" t="n">
        <f aca="false">G12*Supuestos!$B$19</f>
        <v>11179.9358766559</v>
      </c>
      <c r="I12" s="11" t="n">
        <v>2</v>
      </c>
      <c r="J12" s="20" t="n">
        <f aca="false">I12*Supuestos!$B$17</f>
        <v>12000</v>
      </c>
      <c r="K12" s="20" t="n">
        <f aca="false">H12+J12</f>
        <v>23179.9358766559</v>
      </c>
      <c r="L12" s="20" t="n">
        <f aca="false">H12*Supuestos!$B$20</f>
        <v>447.197435066235</v>
      </c>
      <c r="M12" s="20" t="n">
        <f aca="false">K12*Supuestos!$B$21</f>
        <v>347.699038149838</v>
      </c>
      <c r="N12" s="4" t="n">
        <f aca="false">Supuestos!$B$22</f>
        <v>500</v>
      </c>
      <c r="O12" s="20" t="n">
        <f aca="false">K12-L12-M12-N12</f>
        <v>21885.0394034398</v>
      </c>
    </row>
    <row r="13" customFormat="false" ht="15" hidden="false" customHeight="false" outlineLevel="0" collapsed="false">
      <c r="A13" s="18" t="n">
        <v>9</v>
      </c>
      <c r="B13" s="18" t="n">
        <f aca="false">ROUND(Supuestos!$B$5*Supuestos!$B$6*52/12,0)</f>
        <v>104</v>
      </c>
      <c r="C13" s="18" t="n">
        <f aca="false">Supuestos!$B$7*(1+Supuestos!$B$8)^(A13-1)</f>
        <v>9177.06858761718</v>
      </c>
      <c r="D13" s="18" t="n">
        <f aca="false">B13*C13</f>
        <v>954415.133112187</v>
      </c>
      <c r="E13" s="19" t="n">
        <f aca="false">MIN(D13*Supuestos!$B$10/1000*Supuestos!$B$11,Supuestos!$B$12)</f>
        <v>668.090593178531</v>
      </c>
      <c r="F13" s="19" t="n">
        <f aca="false">IF(A13&gt;=Supuestos!$B$15,D13*(1-Supuestos!$B$10)/1000*Supuestos!$B$14,0)</f>
        <v>8.58973619800969</v>
      </c>
      <c r="G13" s="19" t="n">
        <f aca="false">E13+F13</f>
        <v>676.680329376541</v>
      </c>
      <c r="H13" s="20" t="n">
        <f aca="false">G13*Supuestos!$B$19</f>
        <v>12856.9262581543</v>
      </c>
      <c r="I13" s="11" t="n">
        <v>2</v>
      </c>
      <c r="J13" s="20" t="n">
        <f aca="false">I13*Supuestos!$B$17</f>
        <v>12000</v>
      </c>
      <c r="K13" s="20" t="n">
        <f aca="false">H13+J13</f>
        <v>24856.9262581543</v>
      </c>
      <c r="L13" s="20" t="n">
        <f aca="false">H13*Supuestos!$B$20</f>
        <v>514.277050326171</v>
      </c>
      <c r="M13" s="20" t="n">
        <f aca="false">K13*Supuestos!$B$21</f>
        <v>372.853893872314</v>
      </c>
      <c r="N13" s="4" t="n">
        <f aca="false">Supuestos!$B$22</f>
        <v>500</v>
      </c>
      <c r="O13" s="20" t="n">
        <f aca="false">K13-L13-M13-N13</f>
        <v>23469.7953139558</v>
      </c>
    </row>
    <row r="14" customFormat="false" ht="15" hidden="false" customHeight="false" outlineLevel="0" collapsed="false">
      <c r="A14" s="18" t="n">
        <v>10</v>
      </c>
      <c r="B14" s="18" t="n">
        <f aca="false">ROUND(Supuestos!$B$5*Supuestos!$B$6*52/12,0)</f>
        <v>104</v>
      </c>
      <c r="C14" s="18" t="n">
        <f aca="false">Supuestos!$B$7*(1+Supuestos!$B$8)^(A14-1)</f>
        <v>10553.6288757598</v>
      </c>
      <c r="D14" s="18" t="n">
        <f aca="false">B14*C14</f>
        <v>1097577.40307902</v>
      </c>
      <c r="E14" s="19" t="n">
        <f aca="false">MIN(D14*Supuestos!$B$10/1000*Supuestos!$B$11,Supuestos!$B$12)</f>
        <v>768.30418215531</v>
      </c>
      <c r="F14" s="19" t="n">
        <f aca="false">IF(A14&gt;=Supuestos!$B$15,D14*(1-Supuestos!$B$10)/1000*Supuestos!$B$14,0)</f>
        <v>9.87819662771114</v>
      </c>
      <c r="G14" s="19" t="n">
        <f aca="false">E14+F14</f>
        <v>778.182378783022</v>
      </c>
      <c r="H14" s="20" t="n">
        <f aca="false">G14*Supuestos!$B$19</f>
        <v>14785.4651968774</v>
      </c>
      <c r="I14" s="11" t="n">
        <v>3</v>
      </c>
      <c r="J14" s="20" t="n">
        <f aca="false">I14*Supuestos!$B$17</f>
        <v>18000</v>
      </c>
      <c r="K14" s="20" t="n">
        <f aca="false">H14+J14</f>
        <v>32785.4651968774</v>
      </c>
      <c r="L14" s="20" t="n">
        <f aca="false">H14*Supuestos!$B$20</f>
        <v>591.418607875096</v>
      </c>
      <c r="M14" s="20" t="n">
        <f aca="false">K14*Supuestos!$B$21</f>
        <v>491.781977953161</v>
      </c>
      <c r="N14" s="4" t="n">
        <f aca="false">Supuestos!$B$22</f>
        <v>500</v>
      </c>
      <c r="O14" s="20" t="n">
        <f aca="false">K14-L14-M14-N14</f>
        <v>31202.2646110492</v>
      </c>
    </row>
    <row r="15" customFormat="false" ht="15" hidden="false" customHeight="false" outlineLevel="0" collapsed="false">
      <c r="A15" s="18" t="n">
        <v>11</v>
      </c>
      <c r="B15" s="18" t="n">
        <f aca="false">ROUND(Supuestos!$B$5*Supuestos!$B$6*52/12,0)</f>
        <v>104</v>
      </c>
      <c r="C15" s="18" t="n">
        <f aca="false">Supuestos!$B$7*(1+Supuestos!$B$8)^(A15-1)</f>
        <v>12136.6732071237</v>
      </c>
      <c r="D15" s="18" t="n">
        <f aca="false">B15*C15</f>
        <v>1262214.01354087</v>
      </c>
      <c r="E15" s="19" t="n">
        <f aca="false">MIN(D15*Supuestos!$B$10/1000*Supuestos!$B$11,Supuestos!$B$12)</f>
        <v>883.549809478607</v>
      </c>
      <c r="F15" s="19" t="n">
        <f aca="false">IF(A15&gt;=Supuestos!$B$15,D15*(1-Supuestos!$B$10)/1000*Supuestos!$B$14,0)</f>
        <v>11.3599261218678</v>
      </c>
      <c r="G15" s="19" t="n">
        <f aca="false">E15+F15</f>
        <v>894.909735600475</v>
      </c>
      <c r="H15" s="20" t="n">
        <f aca="false">G15*Supuestos!$B$19</f>
        <v>17003.284976409</v>
      </c>
      <c r="I15" s="11" t="n">
        <v>3</v>
      </c>
      <c r="J15" s="20" t="n">
        <f aca="false">I15*Supuestos!$B$17</f>
        <v>18000</v>
      </c>
      <c r="K15" s="20" t="n">
        <f aca="false">H15+J15</f>
        <v>35003.284976409</v>
      </c>
      <c r="L15" s="20" t="n">
        <f aca="false">H15*Supuestos!$B$20</f>
        <v>680.131399056361</v>
      </c>
      <c r="M15" s="20" t="n">
        <f aca="false">K15*Supuestos!$B$21</f>
        <v>525.049274646135</v>
      </c>
      <c r="N15" s="4" t="n">
        <f aca="false">Supuestos!$B$22</f>
        <v>500</v>
      </c>
      <c r="O15" s="20" t="n">
        <f aca="false">K15-L15-M15-N15</f>
        <v>33298.1043027065</v>
      </c>
    </row>
    <row r="16" customFormat="false" ht="15" hidden="false" customHeight="false" outlineLevel="0" collapsed="false">
      <c r="A16" s="18" t="n">
        <v>12</v>
      </c>
      <c r="B16" s="18" t="n">
        <f aca="false">ROUND(Supuestos!$B$5*Supuestos!$B$6*52/12,0)</f>
        <v>104</v>
      </c>
      <c r="C16" s="18" t="n">
        <f aca="false">Supuestos!$B$7*(1+Supuestos!$B$8)^(A16-1)</f>
        <v>13957.1741881923</v>
      </c>
      <c r="D16" s="18" t="n">
        <f aca="false">B16*C16</f>
        <v>1451546.115572</v>
      </c>
      <c r="E16" s="19" t="n">
        <f aca="false">MIN(D16*Supuestos!$B$10/1000*Supuestos!$B$11,Supuestos!$B$12)</f>
        <v>1016.0822809004</v>
      </c>
      <c r="F16" s="19" t="n">
        <f aca="false">IF(A16&gt;=Supuestos!$B$15,D16*(1-Supuestos!$B$10)/1000*Supuestos!$B$14,0)</f>
        <v>13.063915040148</v>
      </c>
      <c r="G16" s="19" t="n">
        <f aca="false">E16+F16</f>
        <v>1029.14619594055</v>
      </c>
      <c r="H16" s="20" t="n">
        <f aca="false">G16*Supuestos!$B$19</f>
        <v>19553.7777228704</v>
      </c>
      <c r="I16" s="11" t="n">
        <v>3</v>
      </c>
      <c r="J16" s="20" t="n">
        <f aca="false">I16*Supuestos!$B$17</f>
        <v>18000</v>
      </c>
      <c r="K16" s="20" t="n">
        <f aca="false">H16+J16</f>
        <v>37553.7777228704</v>
      </c>
      <c r="L16" s="20" t="n">
        <f aca="false">H16*Supuestos!$B$20</f>
        <v>782.151108914815</v>
      </c>
      <c r="M16" s="20" t="n">
        <f aca="false">K16*Supuestos!$B$21</f>
        <v>563.306665843056</v>
      </c>
      <c r="N16" s="4" t="n">
        <f aca="false">Supuestos!$B$22</f>
        <v>500</v>
      </c>
      <c r="O16" s="20" t="n">
        <f aca="false">K16-L16-M16-N16</f>
        <v>35708.3199481125</v>
      </c>
    </row>
    <row r="17" customFormat="false" ht="15" hidden="false" customHeight="false" outlineLevel="0" collapsed="false">
      <c r="A17" s="21" t="s">
        <v>64</v>
      </c>
      <c r="B17" s="22" t="n">
        <f aca="false">SUM(B5:B16)</f>
        <v>1248</v>
      </c>
      <c r="C17" s="21"/>
      <c r="D17" s="22" t="n">
        <f aca="false">SUM(D5:D16)</f>
        <v>9048520.21938532</v>
      </c>
      <c r="E17" s="23" t="n">
        <f aca="false">SUM(E5:E16)</f>
        <v>6333.96415356972</v>
      </c>
      <c r="F17" s="23" t="n">
        <f aca="false">SUM(F5:F16)</f>
        <v>67.4152849744678</v>
      </c>
      <c r="G17" s="23" t="n">
        <f aca="false">SUM(G5:G16)</f>
        <v>6401.37943854419</v>
      </c>
      <c r="H17" s="24" t="n">
        <f aca="false">SUM(H5:H16)</f>
        <v>121626.20933234</v>
      </c>
      <c r="I17" s="21"/>
      <c r="J17" s="24" t="n">
        <f aca="false">SUM(J5:J16)</f>
        <v>120000</v>
      </c>
      <c r="K17" s="24" t="n">
        <f aca="false">SUM(K5:K16)</f>
        <v>241626.20933234</v>
      </c>
      <c r="L17" s="24" t="n">
        <f aca="false">SUM(L5:L16)</f>
        <v>4865.04837329358</v>
      </c>
      <c r="M17" s="24" t="n">
        <f aca="false">SUM(M5:M16)</f>
        <v>3624.39313998509</v>
      </c>
      <c r="N17" s="24" t="n">
        <f aca="false">SUM(N5:N16)</f>
        <v>6000</v>
      </c>
      <c r="O17" s="24" t="n">
        <f aca="false">SUM(O5:O16)</f>
        <v>227136.767819061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2026-09-28T17:56:35Z</dcterms:created>
  <dc:creator>openpyxl</dc:creator>
  <dc:description/>
  <dc:language>en-US</dc:language>
  <cp:lastModifiedBy/>
  <dcterms:modified xsi:type="dcterms:W3CDTF">2026-09-28T17:56:35Z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